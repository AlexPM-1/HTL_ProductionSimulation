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D0D4A288-1D04-4EE7-84F8-0F42E6B2AF7B}" xr6:coauthVersionLast="47" xr6:coauthVersionMax="47" xr10:uidLastSave="{00000000-0000-0000-0000-000000000000}"/>
  <bookViews>
    <workbookView xWindow="5760" yWindow="-14730" windowWidth="21600" windowHeight="11055" tabRatio="580" firstSheet="9" activeTab="11" xr2:uid="{00000000-000D-0000-FFFF-FFFF00000000}"/>
  </bookViews>
  <sheets>
    <sheet name="OEE" sheetId="15" r:id="rId1"/>
    <sheet name="Process" sheetId="1" r:id="rId2"/>
    <sheet name="Shifts" sheetId="14" r:id="rId3"/>
    <sheet name="Buffers" sheetId="2" r:id="rId4"/>
    <sheet name="Inventories" sheetId="3" r:id="rId5"/>
    <sheet name="Inspection" sheetId="4" r:id="rId6"/>
    <sheet name="SetupState" sheetId="5" r:id="rId7"/>
    <sheet name="Packaging" sheetId="7" r:id="rId8"/>
    <sheet name="Supermarkets" sheetId="13" r:id="rId9"/>
    <sheet name="PushCustomerDemand" sheetId="6" r:id="rId10"/>
    <sheet name="PullCustomerDemand" sheetId="10" r:id="rId11"/>
    <sheet name="PullCardsSetup" sheetId="9" r:id="rId12"/>
    <sheet name="PullConfig" sheetId="12" r:id="rId13"/>
    <sheet name="README" sheetId="8" r:id="rId14"/>
  </sheets>
  <definedNames>
    <definedName name="_xlnm._FilterDatabase" localSheetId="10" hidden="1">PullCustomerDemand!$A$2:$B$8</definedName>
    <definedName name="_xlnm._FilterDatabase" localSheetId="9" hidden="1">PushCustomerDemand!$A$3:$E$8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<sst xmlns="http://schemas.openxmlformats.org/spreadsheetml/2006/main" count="1064" uniqueCount="326">
  <si>
    <t>PROCESS PARAMETERS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</si>
  <si>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</si>
  <si>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</si>
  <si>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</si>
  <si>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</si>
  <si>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</si>
  <si>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</si>
  <si>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</si>
  <si>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</si>
  <si>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</si>
  <si>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</si>
  <si>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</si>
  <si>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</si>
  <si>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</si>
  <si>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</si>
  <si>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</si>
  <si>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</si>
  <si>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</si>
  <si>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</si>
  <si>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</si>
  <si>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</si>
  <si>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</si>
  <si>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</si>
  <si>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</si>
  <si>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</si>
  <si>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</si>
  <si>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</si>
  <si>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</si>
  <si>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</si>
  <si>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</si>
  <si>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</si>
  <si>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</si>
  <si>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</si>
  <si>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</si>
  <si>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</si>
  <si>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</si>
  <si>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</si>
  <si>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</si>
  <si>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</si>
  <si>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</si>
  <si>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</si>
  <si>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</si>
  <si>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</si>
  <si>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</si>
  <si>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</si>
  <si>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</si>
  <si>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</si>
  <si>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</si>
  <si>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</si>
  <si>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</si>
  <si>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</si>
  <si>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</si>
  <si>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</si>
  <si>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</si>
  <si>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</si>
  <si>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</si>
  <si>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</si>
  <si>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</si>
  <si>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</si>
  <si>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</si>
  <si>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</si>
  <si>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</si>
  <si>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</si>
  <si>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</si>
  <si>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</si>
  <si>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</si>
  <si>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</si>
  <si>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</si>
  <si>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</si>
  <si>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</si>
  <si>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</si>
  <si>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</si>
  <si>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</si>
  <si>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</si>
  <si>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</si>
  <si>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</si>
  <si>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</si>
  <si>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</si>
  <si>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</si>
  <si>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</si>
  <si>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</si>
  <si>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</si>
  <si>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</si>
  <si>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</si>
  <si>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</si>
  <si>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</si>
  <si>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</si>
  <si>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</si>
  <si>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</si>
  <si>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</si>
  <si>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</si>
  <si>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</si>
  <si>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</si>
  <si>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</si>
  <si>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</si>
  <si>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</si>
  <si>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</si>
  <si>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</si>
  <si>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</si>
  <si>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</si>
  <si>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</si>
  <si>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</si>
  <si>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</si>
  <si>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</si>
  <si>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</si>
  <si>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</si>
  <si>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</si>
  <si>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</si>
  <si>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</si>
  <si>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</si>
  <si>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</si>
  <si>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</si>
  <si>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</si>
  <si>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</si>
  <si>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</si>
  <si>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</si>
  <si>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</si>
  <si>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</si>
  <si>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</si>
  <si>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</si>
  <si>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</si>
  <si>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</si>
  <si>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</si>
  <si>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</si>
  <si>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</si>
  <si>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</si>
  <si>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</si>
  <si>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</si>
  <si>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</si>
  <si>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</si>
  <si>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</si>
  <si>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</si>
  <si>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</si>
  <si>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</si>
  <si>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</si>
  <si>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</si>
  <si>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</si>
  <si>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</si>
  <si>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</si>
  <si>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</si>
  <si>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</si>
  <si>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</si>
  <si>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</si>
  <si>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</si>
  <si>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</si>
  <si>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</si>
  <si>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</si>
  <si>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</si>
  <si>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</si>
  <si>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</si>
  <si>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</si>
  <si>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</si>
  <si>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</si>
  <si>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</si>
  <si>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</si>
  <si>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</si>
  <si>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</si>
  <si>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</si>
  <si>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</si>
  <si>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</si>
  <si>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</si>
  <si>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</si>
  <si>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</si>
  <si>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</si>
  <si>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</si>
  <si>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</si>
  <si>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</si>
  <si>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</si>
  <si>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</si>
  <si>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</si>
  <si>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</si>
  <si>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</si>
  <si>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</si>
  <si>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</si>
  <si>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</si>
  <si>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</si>
  <si>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</si>
  <si>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</si>
  <si>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</si>
  <si>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</si>
  <si>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</si>
  <si>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</si>
  <si>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</si>
  <si>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</si>
  <si>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</si>
  <si>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</si>
  <si>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</si>
  <si>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</si>
  <si>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</si>
  <si>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</si>
  <si>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</si>
  <si>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</si>
  <si>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</si>
  <si>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</si>
  <si>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</si>
  <si>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</si>
  <si>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</si>
  <si>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</si>
  <si>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</si>
  <si>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</si>
  <si>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</si>
  <si>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InitialPcsPartial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</si>
  <si>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</si>
  <si>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</si>
  <si>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</si>
  <si>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</si>
  <si>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</si>
  <si>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</si>
  <si>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</si>
  <si>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</si>
  <si>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</si>
  <si>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</si>
  <si>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</si>
  <si>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</si>
  <si>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</si>
  <si>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</si>
  <si>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</si>
  <si>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</si>
  <si>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</si>
  <si>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</si>
  <si>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</si>
  <si>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</si>
  <si>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</si>
  <si>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</si>
  <si>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</si>
  <si>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</si>
  <si>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</si>
  <si>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</si>
  <si>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</si>
  <si>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</si>
  <si>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</si>
  <si>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</si>
  <si>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</si>
  <si>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</si>
  <si>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</si>
  <si>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</si>
  <si>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</si>
  <si>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</si>
  <si>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</si>
  <si>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</si>
  <si>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</si>
  <si>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</si>
  <si>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</si>
  <si>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</si>
  <si>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</si>
  <si>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</si>
  <si>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</si>
  <si>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</si>
  <si>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</si>
  <si>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</si>
  <si>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</si>
  <si>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</si>
  <si>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</si>
  <si>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</si>
  <si>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</si>
  <si>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</si>
  <si>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</si>
  <si>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</si>
  <si>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</si>
  <si>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</si>
  <si>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</si>
  <si>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</si>
  <si>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</si>
  <si>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</si>
  <si>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</si>
  <si>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</si>
  <si>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</si>
  <si>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</si>
  <si>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</si>
  <si>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</si>
  <si>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</si>
  <si>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</si>
  <si>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</si>
  <si>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</si>
  <si>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</si>
  <si>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</si>
  <si>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</si>
  <si>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</si>
  <si>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</si>
  <si>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</si>
  <si>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</si>
  <si>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</si>
  <si>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</si>
  <si>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</si>
  <si>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</si>
  <si>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</si>
  <si>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</si>
  <si>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</si>
  <si>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</si>
  <si>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</si>
  <si>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</si>
  <si>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</si>
  <si>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</si>
  <si>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</si>
  <si>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</si>
  <si>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</si>
  <si>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</si>
  <si>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</si>
  <si>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</si>
  <si>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</si>
  <si>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</si>
  <si>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</si>
  <si>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</si>
  <si>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</si>
  <si>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</si>
  <si>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</si>
  <si>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</si>
  <si>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</si>
  <si>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</si>
  <si>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</si>
  <si>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</si>
  <si>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</si>
  <si>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</si>
  <si>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</si>
  <si>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</si>
  <si>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</si>
  <si>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</si>
  <si>
    <t>STATION PARAMETERS  (cycle times, OEE per station, effective rate)  –  stations can differ per line</t>
  </si>
  <si>
    <t>LINE PARAMETERS</t>
  </si>
  <si>
    <r>
      <t>Daily min and max OEE: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>Technical Losses (Breakdowns),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 xml:space="preserve">Organisational Losses 
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Performance Losses</t>
    </r>
    <r>
      <rPr>
        <sz val="10"/>
        <color rgb="FF000000"/>
        <rFont val="Arial"/>
        <family val="2"/>
      </rPr>
      <t xml:space="preserve"> included
(Setup and quality losses are considered later on the simulation)</t>
    </r>
  </si>
  <si>
    <t>Bin_down</t>
  </si>
  <si>
    <t>Bin_up</t>
  </si>
  <si>
    <t>Probability</t>
  </si>
  <si>
    <t>ProductNumber</t>
  </si>
  <si>
    <t>pull withdrawal cadence</t>
  </si>
  <si>
    <t>CardSize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</si>
</sst>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ECA-4E94-45AD-9C79-8ADA0D044D22}">
  <dimension ref="A1:D24"/>
  <sheetViews>
    <sheetView workbookViewId="0">
      <selection activeCell="A3" sqref="A3:D24"/>
    </sheetView>
  </sheetViews>
  <sheetFormatPr defaultRowHeight="14.25" x14ac:dyDescent="0.45"/>
  <cols>
    <col min="2" max="2" width="8.9296875" bestFit="1" customWidth="1"/>
    <col min="3" max="3" width="9.265625" bestFit="1" customWidth="1"/>
    <col min="4" max="4" width="10.3984375" bestFit="1" customWidth="1"/>
  </cols>
  <sheetData>
    <row r="1" spans="1:4" ht="16.899999999999999" x14ac:dyDescent="0.45">
      <c r="A1" s="44" t="s">
        <v>318</v>
      </c>
      <c r="B1" s="45"/>
      <c r="C1" s="45"/>
      <c r="D1" s="45"/>
    </row>
    <row r="2" spans="1:4" ht="78.400000000000006" customHeight="1" x14ac:dyDescent="0.45">
      <c r="A2" s="46" t="s">
        <v>319</v>
      </c>
      <c r="B2" s="47"/>
      <c r="C2" s="47"/>
      <c r="D2" s="47"/>
    </row>
    <row r="3" spans="1:4" x14ac:dyDescent="0.45">
      <c r="A3" s="1" t="s">
        <v>2</v>
      </c>
      <c r="B3" s="1" t="s">
        <v>320</v>
      </c>
      <c r="C3" s="1" t="s">
        <v>321</v>
      </c>
      <c r="D3" s="1" t="s">
        <v>322</v>
      </c>
    </row>
    <row r="4" spans="1:4" x14ac:dyDescent="0.45">
      <c r="A4" t="s">
        <v>8</v>
      </c>
      <c r="B4" s="7">
        <v>0</v>
      </c>
      <c r="C4" s="7">
        <v>0.05</v>
      </c>
      <c r="D4" s="3">
        <v>0.25</v>
      </c>
    </row>
    <row r="5" spans="1:4" x14ac:dyDescent="0.45">
      <c r="A5" t="s">
        <v>8</v>
      </c>
      <c r="B5" s="7">
        <v>0.05</v>
      </c>
      <c r="C5" s="7">
        <v>0.1</v>
      </c>
      <c r="D5" s="3">
        <v>0.25</v>
      </c>
    </row>
    <row r="6" spans="1:4" x14ac:dyDescent="0.45">
      <c r="A6" t="s">
        <v>8</v>
      </c>
      <c r="B6" s="7">
        <v>0.1</v>
      </c>
      <c r="C6" s="7">
        <v>0.15</v>
      </c>
      <c r="D6" s="3">
        <v>0.25</v>
      </c>
    </row>
    <row r="7" spans="1:4" x14ac:dyDescent="0.45">
      <c r="A7" t="s">
        <v>8</v>
      </c>
      <c r="B7" s="7">
        <v>0.15</v>
      </c>
      <c r="C7" s="7">
        <v>0.2</v>
      </c>
      <c r="D7" s="3">
        <v>8.3299999999999999E-2</v>
      </c>
    </row>
    <row r="8" spans="1:4" x14ac:dyDescent="0.45">
      <c r="A8" t="s">
        <v>8</v>
      </c>
      <c r="B8" s="7">
        <v>0.2</v>
      </c>
      <c r="C8" s="7">
        <v>0.25</v>
      </c>
      <c r="D8" s="3">
        <v>8.3299999999999999E-2</v>
      </c>
    </row>
    <row r="9" spans="1:4" x14ac:dyDescent="0.45">
      <c r="A9" t="s">
        <v>8</v>
      </c>
      <c r="B9" s="7">
        <v>0.25</v>
      </c>
      <c r="C9" s="7">
        <v>0.3</v>
      </c>
      <c r="D9" s="3">
        <v>0</v>
      </c>
    </row>
    <row r="10" spans="1:4" x14ac:dyDescent="0.45">
      <c r="A10" t="s">
        <v>8</v>
      </c>
      <c r="B10" s="7">
        <v>0.3</v>
      </c>
      <c r="C10" s="7">
        <v>0.35</v>
      </c>
      <c r="D10" s="3">
        <v>8.3299999999999999E-2</v>
      </c>
    </row>
    <row r="11" spans="1:4" x14ac:dyDescent="0.45">
      <c r="A11" t="s">
        <v>16</v>
      </c>
      <c r="B11" s="7">
        <v>0</v>
      </c>
      <c r="C11" s="7">
        <v>0.05</v>
      </c>
      <c r="D11" s="3">
        <v>8.3299999999999999E-2</v>
      </c>
    </row>
    <row r="12" spans="1:4" x14ac:dyDescent="0.45">
      <c r="A12" t="s">
        <v>16</v>
      </c>
      <c r="B12" s="7">
        <v>0.05</v>
      </c>
      <c r="C12" s="7">
        <v>0.1</v>
      </c>
      <c r="D12" s="3">
        <v>0.29170000000000001</v>
      </c>
    </row>
    <row r="13" spans="1:4" x14ac:dyDescent="0.45">
      <c r="A13" t="s">
        <v>16</v>
      </c>
      <c r="B13" s="7">
        <v>0.1</v>
      </c>
      <c r="C13" s="7">
        <v>0.15</v>
      </c>
      <c r="D13" s="3">
        <v>0.5</v>
      </c>
    </row>
    <row r="14" spans="1:4" x14ac:dyDescent="0.45">
      <c r="A14" t="s">
        <v>16</v>
      </c>
      <c r="B14" s="7">
        <v>0.15</v>
      </c>
      <c r="C14" s="7">
        <v>0.2</v>
      </c>
      <c r="D14" s="3">
        <v>4.1700000000000001E-2</v>
      </c>
    </row>
    <row r="15" spans="1:4" x14ac:dyDescent="0.45">
      <c r="A15" t="s">
        <v>16</v>
      </c>
      <c r="B15" s="7">
        <v>0.2</v>
      </c>
      <c r="C15" s="7">
        <v>0.25</v>
      </c>
      <c r="D15" s="3">
        <v>4.1700000000000001E-2</v>
      </c>
    </row>
    <row r="16" spans="1:4" x14ac:dyDescent="0.45">
      <c r="A16" t="s">
        <v>16</v>
      </c>
      <c r="B16" s="7">
        <v>0.25</v>
      </c>
      <c r="C16" s="7">
        <v>0.3</v>
      </c>
      <c r="D16" s="3">
        <v>4.1700000000000001E-2</v>
      </c>
    </row>
    <row r="17" spans="1:4" x14ac:dyDescent="0.45">
      <c r="A17" t="s">
        <v>16</v>
      </c>
      <c r="B17" s="7">
        <v>0.3</v>
      </c>
      <c r="C17" s="7">
        <v>0.35</v>
      </c>
      <c r="D17" s="3">
        <v>0</v>
      </c>
    </row>
    <row r="18" spans="1:4" x14ac:dyDescent="0.45">
      <c r="A18" t="s">
        <v>17</v>
      </c>
      <c r="B18" s="7">
        <v>0</v>
      </c>
      <c r="C18" s="7">
        <v>0.05</v>
      </c>
      <c r="D18" s="3">
        <v>0.13639999999999999</v>
      </c>
    </row>
    <row r="19" spans="1:4" x14ac:dyDescent="0.45">
      <c r="A19" t="s">
        <v>17</v>
      </c>
      <c r="B19" s="7">
        <v>0.05</v>
      </c>
      <c r="C19" s="7">
        <v>0.1</v>
      </c>
      <c r="D19" s="3">
        <v>0.2727</v>
      </c>
    </row>
    <row r="20" spans="1:4" x14ac:dyDescent="0.45">
      <c r="A20" t="s">
        <v>17</v>
      </c>
      <c r="B20" s="7">
        <v>0.1</v>
      </c>
      <c r="C20" s="7">
        <v>0.15</v>
      </c>
      <c r="D20" s="3">
        <v>0.2727</v>
      </c>
    </row>
    <row r="21" spans="1:4" x14ac:dyDescent="0.45">
      <c r="A21" t="s">
        <v>17</v>
      </c>
      <c r="B21" s="7">
        <v>0.15</v>
      </c>
      <c r="C21" s="7">
        <v>0.2</v>
      </c>
      <c r="D21" s="3">
        <v>0.13639999999999999</v>
      </c>
    </row>
    <row r="22" spans="1:4" x14ac:dyDescent="0.45">
      <c r="A22" t="s">
        <v>17</v>
      </c>
      <c r="B22" s="7">
        <v>0.2</v>
      </c>
      <c r="C22" s="7">
        <v>0.25</v>
      </c>
      <c r="D22" s="3">
        <v>9.0899999999999995E-2</v>
      </c>
    </row>
    <row r="23" spans="1:4" x14ac:dyDescent="0.45">
      <c r="A23" t="s">
        <v>17</v>
      </c>
      <c r="B23" s="7">
        <v>0.25</v>
      </c>
      <c r="C23" s="7">
        <v>0.3</v>
      </c>
      <c r="D23" s="3">
        <v>9.0899999999999995E-2</v>
      </c>
    </row>
    <row r="24" spans="1:4" x14ac:dyDescent="0.45">
      <c r="A24" t="s">
        <v>17</v>
      </c>
      <c r="B24" s="7">
        <v>0.3</v>
      </c>
      <c r="C24" s="7">
        <v>0.35</v>
      </c>
      <c r="D24" s="3"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E4" sqref="E4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4" t="s">
        <v>0</v>
      </c>
      <c r="B1" s="45"/>
      <c r="C1" s="45"/>
      <c r="D1" s="45"/>
      <c r="E1" s="45"/>
      <c r="F1" s="45"/>
    </row>
    <row r="2" spans="1:6" ht="15" customHeight="1" x14ac:dyDescent="0.45">
      <c r="A2" s="48" t="s">
        <v>317</v>
      </c>
      <c r="B2" s="47"/>
      <c r="C2" s="47"/>
      <c r="D2" s="47"/>
      <c r="E2" s="47"/>
      <c r="F2" s="47"/>
    </row>
    <row r="3" spans="1:6" ht="1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45">
      <c r="A4" s="22" t="s">
        <v>7</v>
      </c>
      <c r="B4" s="6" t="s">
        <v>8</v>
      </c>
      <c r="C4" s="3">
        <v>10</v>
      </c>
      <c r="D4" s="3">
        <v>1</v>
      </c>
      <c r="E4" s="7">
        <f t="shared" ref="E4:E20" si="0">D4/C4</f>
        <v>0.1</v>
      </c>
      <c r="F4" s="8">
        <f t="shared" ref="F4:F20" si="1">8*2*60-45</f>
        <v>915</v>
      </c>
    </row>
    <row r="5" spans="1:6" ht="15" customHeight="1" x14ac:dyDescent="0.45">
      <c r="A5" s="22" t="s">
        <v>9</v>
      </c>
      <c r="B5" s="6" t="s">
        <v>8</v>
      </c>
      <c r="C5" s="3">
        <v>10</v>
      </c>
      <c r="D5" s="3">
        <v>1</v>
      </c>
      <c r="E5" s="7">
        <f t="shared" si="0"/>
        <v>0.1</v>
      </c>
      <c r="F5" s="8">
        <f t="shared" si="1"/>
        <v>915</v>
      </c>
    </row>
    <row r="6" spans="1:6" ht="15" customHeight="1" x14ac:dyDescent="0.45">
      <c r="A6" s="22" t="s">
        <v>10</v>
      </c>
      <c r="B6" s="6" t="s">
        <v>8</v>
      </c>
      <c r="C6" s="3">
        <v>10</v>
      </c>
      <c r="D6" s="3">
        <v>1</v>
      </c>
      <c r="E6" s="7">
        <f t="shared" si="0"/>
        <v>0.1</v>
      </c>
      <c r="F6" s="8">
        <f t="shared" si="1"/>
        <v>915</v>
      </c>
    </row>
    <row r="7" spans="1:6" ht="15" customHeight="1" x14ac:dyDescent="0.45">
      <c r="A7" s="22" t="s">
        <v>11</v>
      </c>
      <c r="B7" s="6" t="s">
        <v>8</v>
      </c>
      <c r="C7" s="3">
        <v>10</v>
      </c>
      <c r="D7" s="3">
        <v>1</v>
      </c>
      <c r="E7" s="7">
        <f t="shared" si="0"/>
        <v>0.1</v>
      </c>
      <c r="F7" s="8">
        <f t="shared" si="1"/>
        <v>915</v>
      </c>
    </row>
    <row r="8" spans="1:6" ht="15" customHeight="1" x14ac:dyDescent="0.45">
      <c r="A8" s="22" t="s">
        <v>12</v>
      </c>
      <c r="B8" s="6" t="s">
        <v>8</v>
      </c>
      <c r="C8" s="3">
        <v>10</v>
      </c>
      <c r="D8" s="3">
        <v>1</v>
      </c>
      <c r="E8" s="7">
        <f t="shared" si="0"/>
        <v>0.1</v>
      </c>
      <c r="F8" s="8">
        <f t="shared" si="1"/>
        <v>915</v>
      </c>
    </row>
    <row r="9" spans="1:6" ht="15" customHeight="1" x14ac:dyDescent="0.45">
      <c r="A9" s="22" t="s">
        <v>13</v>
      </c>
      <c r="B9" s="6" t="s">
        <v>8</v>
      </c>
      <c r="C9" s="3">
        <v>10</v>
      </c>
      <c r="D9" s="3">
        <v>1</v>
      </c>
      <c r="E9" s="7">
        <f t="shared" si="0"/>
        <v>0.1</v>
      </c>
      <c r="F9" s="8">
        <f t="shared" si="1"/>
        <v>915</v>
      </c>
    </row>
    <row r="10" spans="1:6" ht="15" customHeight="1" x14ac:dyDescent="0.45">
      <c r="A10" s="22" t="s">
        <v>14</v>
      </c>
      <c r="B10" s="6" t="s">
        <v>8</v>
      </c>
      <c r="C10" s="3">
        <v>10</v>
      </c>
      <c r="D10" s="3">
        <v>1</v>
      </c>
      <c r="E10" s="7">
        <f t="shared" si="0"/>
        <v>0.1</v>
      </c>
      <c r="F10" s="8">
        <f t="shared" si="1"/>
        <v>915</v>
      </c>
    </row>
    <row r="11" spans="1:6" ht="15" customHeight="1" x14ac:dyDescent="0.45">
      <c r="A11" s="22" t="s">
        <v>15</v>
      </c>
      <c r="B11" s="6" t="s">
        <v>8</v>
      </c>
      <c r="C11" s="3">
        <v>10</v>
      </c>
      <c r="D11" s="3">
        <v>1</v>
      </c>
      <c r="E11" s="7">
        <f t="shared" si="0"/>
        <v>0.1</v>
      </c>
      <c r="F11" s="8">
        <f t="shared" si="1"/>
        <v>915</v>
      </c>
    </row>
    <row r="12" spans="1:6" ht="15" customHeight="1" x14ac:dyDescent="0.45">
      <c r="A12" s="9" t="s">
        <v>7</v>
      </c>
      <c r="B12" s="10" t="s">
        <v>16</v>
      </c>
      <c r="C12" s="3">
        <v>10</v>
      </c>
      <c r="D12" s="3">
        <v>1</v>
      </c>
      <c r="E12" s="7">
        <f t="shared" si="0"/>
        <v>0.1</v>
      </c>
      <c r="F12" s="8">
        <f t="shared" si="1"/>
        <v>915</v>
      </c>
    </row>
    <row r="13" spans="1:6" ht="15" customHeight="1" x14ac:dyDescent="0.45">
      <c r="A13" s="9" t="s">
        <v>9</v>
      </c>
      <c r="B13" s="10" t="s">
        <v>16</v>
      </c>
      <c r="C13" s="3">
        <v>10</v>
      </c>
      <c r="D13" s="3">
        <v>1</v>
      </c>
      <c r="E13" s="7">
        <f t="shared" si="0"/>
        <v>0.1</v>
      </c>
      <c r="F13" s="8">
        <f t="shared" si="1"/>
        <v>915</v>
      </c>
    </row>
    <row r="14" spans="1:6" ht="15" customHeight="1" x14ac:dyDescent="0.45">
      <c r="A14" s="9" t="s">
        <v>13</v>
      </c>
      <c r="B14" s="10" t="s">
        <v>16</v>
      </c>
      <c r="C14" s="3">
        <v>10</v>
      </c>
      <c r="D14" s="3">
        <v>1</v>
      </c>
      <c r="E14" s="7">
        <f t="shared" si="0"/>
        <v>0.1</v>
      </c>
      <c r="F14" s="8">
        <f t="shared" si="1"/>
        <v>915</v>
      </c>
    </row>
    <row r="15" spans="1:6" ht="15" customHeight="1" x14ac:dyDescent="0.45">
      <c r="A15" s="9" t="s">
        <v>14</v>
      </c>
      <c r="B15" s="10" t="s">
        <v>16</v>
      </c>
      <c r="C15" s="3">
        <v>10</v>
      </c>
      <c r="D15" s="3">
        <v>1</v>
      </c>
      <c r="E15" s="7">
        <f t="shared" si="0"/>
        <v>0.1</v>
      </c>
      <c r="F15" s="8">
        <f t="shared" si="1"/>
        <v>915</v>
      </c>
    </row>
    <row r="16" spans="1:6" ht="15" customHeight="1" x14ac:dyDescent="0.45">
      <c r="A16" s="9" t="s">
        <v>15</v>
      </c>
      <c r="B16" s="10" t="s">
        <v>16</v>
      </c>
      <c r="C16" s="3">
        <v>10</v>
      </c>
      <c r="D16" s="3">
        <v>1</v>
      </c>
      <c r="E16" s="7">
        <f t="shared" si="0"/>
        <v>0.1</v>
      </c>
      <c r="F16" s="8">
        <f t="shared" si="1"/>
        <v>915</v>
      </c>
    </row>
    <row r="17" spans="1:6" ht="15" customHeight="1" x14ac:dyDescent="0.45">
      <c r="A17" s="11" t="s">
        <v>7</v>
      </c>
      <c r="B17" s="12" t="s">
        <v>17</v>
      </c>
      <c r="C17" s="3">
        <v>10</v>
      </c>
      <c r="D17" s="3">
        <v>1</v>
      </c>
      <c r="E17" s="7">
        <f t="shared" si="0"/>
        <v>0.1</v>
      </c>
      <c r="F17" s="8">
        <f t="shared" si="1"/>
        <v>915</v>
      </c>
    </row>
    <row r="18" spans="1:6" ht="15" customHeight="1" x14ac:dyDescent="0.45">
      <c r="A18" s="11" t="s">
        <v>13</v>
      </c>
      <c r="B18" s="12" t="s">
        <v>17</v>
      </c>
      <c r="C18" s="3">
        <v>10</v>
      </c>
      <c r="D18" s="3">
        <v>1</v>
      </c>
      <c r="E18" s="7">
        <f t="shared" si="0"/>
        <v>0.1</v>
      </c>
      <c r="F18" s="8">
        <f t="shared" si="1"/>
        <v>915</v>
      </c>
    </row>
    <row r="19" spans="1:6" ht="15" customHeight="1" x14ac:dyDescent="0.45">
      <c r="A19" s="11" t="s">
        <v>14</v>
      </c>
      <c r="B19" s="12" t="s">
        <v>17</v>
      </c>
      <c r="C19" s="3">
        <v>10</v>
      </c>
      <c r="D19" s="3">
        <v>1</v>
      </c>
      <c r="E19" s="7">
        <f t="shared" si="0"/>
        <v>0.1</v>
      </c>
      <c r="F19" s="8">
        <f t="shared" si="1"/>
        <v>915</v>
      </c>
    </row>
    <row r="20" spans="1:6" ht="15" customHeight="1" x14ac:dyDescent="0.45">
      <c r="A20" s="11" t="s">
        <v>15</v>
      </c>
      <c r="B20" s="12" t="s">
        <v>17</v>
      </c>
      <c r="C20" s="3">
        <v>10</v>
      </c>
      <c r="D20" s="3">
        <v>1</v>
      </c>
      <c r="E20" s="7">
        <f t="shared" si="0"/>
        <v>0.1</v>
      </c>
      <c r="F20" s="8">
        <f t="shared" si="1"/>
        <v>915</v>
      </c>
    </row>
    <row r="21" spans="1:6" ht="15" customHeight="1" x14ac:dyDescent="0.45">
      <c r="A21" s="49" t="s">
        <v>18</v>
      </c>
      <c r="B21" s="45"/>
      <c r="C21" s="45"/>
      <c r="D21" s="45"/>
      <c r="E21" s="45"/>
      <c r="F21" s="45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opLeftCell="A2" workbookViewId="0">
      <selection activeCell="B33" sqref="B33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4" t="s">
        <v>255</v>
      </c>
      <c r="B1" s="44"/>
      <c r="C1" s="45"/>
      <c r="D1" s="45"/>
      <c r="E1" s="45"/>
      <c r="F1" s="45"/>
    </row>
    <row r="2" spans="1:6" x14ac:dyDescent="0.45">
      <c r="A2" s="1" t="s">
        <v>255</v>
      </c>
      <c r="B2" s="1" t="s">
        <v>268</v>
      </c>
      <c r="C2" s="1" t="s">
        <v>269</v>
      </c>
    </row>
    <row r="3" spans="1:6" x14ac:dyDescent="0.45">
      <c r="A3" s="6" t="s">
        <v>257</v>
      </c>
      <c r="B3" s="43">
        <v>0.25</v>
      </c>
      <c r="C3" s="43">
        <v>0.58332175925925922</v>
      </c>
    </row>
    <row r="4" spans="1:6" x14ac:dyDescent="0.45">
      <c r="A4" s="6" t="s">
        <v>258</v>
      </c>
      <c r="B4" s="43">
        <v>0.58333333333333337</v>
      </c>
      <c r="C4" s="43">
        <v>0.91665509259259259</v>
      </c>
    </row>
    <row r="5" spans="1:6" x14ac:dyDescent="0.45">
      <c r="A5" s="6" t="s">
        <v>259</v>
      </c>
      <c r="B5" s="43">
        <v>0.91666666666666663</v>
      </c>
      <c r="C5" s="43">
        <v>0.24998842592592593</v>
      </c>
    </row>
    <row r="6" spans="1:6" x14ac:dyDescent="0.45">
      <c r="A6" s="1" t="s">
        <v>2</v>
      </c>
      <c r="B6" s="1" t="s">
        <v>256</v>
      </c>
      <c r="C6" s="1" t="s">
        <v>267</v>
      </c>
      <c r="D6" s="1" t="s">
        <v>257</v>
      </c>
      <c r="E6" s="1" t="s">
        <v>258</v>
      </c>
      <c r="F6" s="1" t="s">
        <v>259</v>
      </c>
    </row>
    <row r="7" spans="1:6" x14ac:dyDescent="0.45">
      <c r="A7" s="6" t="s">
        <v>8</v>
      </c>
      <c r="B7" s="40">
        <v>46266</v>
      </c>
      <c r="C7" s="6" t="s">
        <v>261</v>
      </c>
      <c r="D7" s="3" t="s">
        <v>205</v>
      </c>
      <c r="E7" s="3" t="s">
        <v>205</v>
      </c>
      <c r="F7" s="3" t="s">
        <v>205</v>
      </c>
    </row>
    <row r="8" spans="1:6" x14ac:dyDescent="0.45">
      <c r="A8" s="6" t="s">
        <v>8</v>
      </c>
      <c r="B8" s="40">
        <v>46267</v>
      </c>
      <c r="C8" s="6" t="s">
        <v>262</v>
      </c>
      <c r="D8" s="3" t="s">
        <v>205</v>
      </c>
      <c r="E8" s="3" t="s">
        <v>205</v>
      </c>
      <c r="F8" s="3" t="s">
        <v>205</v>
      </c>
    </row>
    <row r="9" spans="1:6" x14ac:dyDescent="0.45">
      <c r="A9" s="6" t="s">
        <v>8</v>
      </c>
      <c r="B9" s="40">
        <v>46268</v>
      </c>
      <c r="C9" s="6" t="s">
        <v>263</v>
      </c>
      <c r="D9" s="3" t="s">
        <v>205</v>
      </c>
      <c r="E9" s="3" t="s">
        <v>205</v>
      </c>
      <c r="F9" s="3" t="s">
        <v>205</v>
      </c>
    </row>
    <row r="10" spans="1:6" x14ac:dyDescent="0.45">
      <c r="A10" s="6" t="s">
        <v>8</v>
      </c>
      <c r="B10" s="40">
        <v>46269</v>
      </c>
      <c r="C10" s="6" t="s">
        <v>264</v>
      </c>
      <c r="D10" s="3" t="s">
        <v>205</v>
      </c>
      <c r="E10" s="3" t="s">
        <v>205</v>
      </c>
      <c r="F10" s="3" t="s">
        <v>205</v>
      </c>
    </row>
    <row r="11" spans="1:6" x14ac:dyDescent="0.45">
      <c r="A11" s="6" t="s">
        <v>8</v>
      </c>
      <c r="B11" s="40">
        <v>46270</v>
      </c>
      <c r="C11" s="6" t="s">
        <v>265</v>
      </c>
      <c r="D11" s="3" t="s">
        <v>205</v>
      </c>
      <c r="E11" s="3"/>
      <c r="F11" s="3"/>
    </row>
    <row r="12" spans="1:6" x14ac:dyDescent="0.45">
      <c r="A12" s="6" t="s">
        <v>8</v>
      </c>
      <c r="B12" s="40">
        <v>46271</v>
      </c>
      <c r="C12" s="6" t="s">
        <v>266</v>
      </c>
      <c r="D12" s="3"/>
      <c r="E12" s="3"/>
      <c r="F12" s="3"/>
    </row>
    <row r="13" spans="1:6" x14ac:dyDescent="0.45">
      <c r="A13" s="6" t="s">
        <v>8</v>
      </c>
      <c r="B13" s="40">
        <v>46272</v>
      </c>
      <c r="C13" s="6" t="s">
        <v>260</v>
      </c>
      <c r="D13" s="3" t="s">
        <v>205</v>
      </c>
      <c r="E13" s="3" t="s">
        <v>205</v>
      </c>
      <c r="F13" s="3" t="s">
        <v>205</v>
      </c>
    </row>
    <row r="14" spans="1:6" x14ac:dyDescent="0.45">
      <c r="A14" s="6" t="s">
        <v>8</v>
      </c>
      <c r="B14" s="40">
        <v>46273</v>
      </c>
      <c r="C14" s="6" t="s">
        <v>261</v>
      </c>
      <c r="D14" s="3" t="s">
        <v>205</v>
      </c>
      <c r="E14" s="3" t="s">
        <v>205</v>
      </c>
      <c r="F14" s="3" t="s">
        <v>205</v>
      </c>
    </row>
    <row r="15" spans="1:6" x14ac:dyDescent="0.45">
      <c r="A15" s="6" t="s">
        <v>8</v>
      </c>
      <c r="B15" s="40">
        <v>46274</v>
      </c>
      <c r="C15" s="6" t="s">
        <v>262</v>
      </c>
      <c r="D15" s="3" t="s">
        <v>205</v>
      </c>
      <c r="E15" s="3" t="s">
        <v>205</v>
      </c>
      <c r="F15" s="3" t="s">
        <v>205</v>
      </c>
    </row>
    <row r="16" spans="1:6" x14ac:dyDescent="0.45">
      <c r="A16" s="6" t="s">
        <v>8</v>
      </c>
      <c r="B16" s="40">
        <v>46275</v>
      </c>
      <c r="C16" s="6" t="s">
        <v>263</v>
      </c>
      <c r="D16" s="3" t="s">
        <v>205</v>
      </c>
      <c r="E16" s="3" t="s">
        <v>205</v>
      </c>
      <c r="F16" s="3" t="s">
        <v>205</v>
      </c>
    </row>
    <row r="17" spans="1:6" x14ac:dyDescent="0.45">
      <c r="A17" s="6" t="s">
        <v>8</v>
      </c>
      <c r="B17" s="40">
        <v>46276</v>
      </c>
      <c r="C17" s="6" t="s">
        <v>264</v>
      </c>
      <c r="D17" s="3" t="s">
        <v>205</v>
      </c>
      <c r="E17" s="3" t="s">
        <v>205</v>
      </c>
      <c r="F17" s="3" t="s">
        <v>205</v>
      </c>
    </row>
    <row r="18" spans="1:6" x14ac:dyDescent="0.45">
      <c r="A18" s="6" t="s">
        <v>8</v>
      </c>
      <c r="B18" s="40">
        <v>46277</v>
      </c>
      <c r="C18" s="6" t="s">
        <v>265</v>
      </c>
      <c r="D18" s="3" t="s">
        <v>205</v>
      </c>
      <c r="E18" s="3"/>
      <c r="F18" s="3"/>
    </row>
    <row r="19" spans="1:6" x14ac:dyDescent="0.45">
      <c r="A19" s="6" t="s">
        <v>8</v>
      </c>
      <c r="B19" s="40">
        <v>46278</v>
      </c>
      <c r="C19" s="6" t="s">
        <v>266</v>
      </c>
      <c r="D19" s="3"/>
      <c r="E19" s="3"/>
      <c r="F19" s="3"/>
    </row>
    <row r="20" spans="1:6" x14ac:dyDescent="0.45">
      <c r="A20" s="6" t="s">
        <v>8</v>
      </c>
      <c r="B20" s="40">
        <v>46279</v>
      </c>
      <c r="C20" s="6" t="s">
        <v>260</v>
      </c>
      <c r="D20" s="3" t="s">
        <v>205</v>
      </c>
      <c r="E20" s="3" t="s">
        <v>205</v>
      </c>
      <c r="F20" s="3" t="s">
        <v>205</v>
      </c>
    </row>
    <row r="21" spans="1:6" x14ac:dyDescent="0.45">
      <c r="A21" s="6" t="s">
        <v>8</v>
      </c>
      <c r="B21" s="40">
        <v>46280</v>
      </c>
      <c r="C21" s="6" t="s">
        <v>261</v>
      </c>
      <c r="D21" s="3" t="s">
        <v>205</v>
      </c>
      <c r="E21" s="3" t="s">
        <v>205</v>
      </c>
      <c r="F21" s="3" t="s">
        <v>205</v>
      </c>
    </row>
    <row r="22" spans="1:6" x14ac:dyDescent="0.45">
      <c r="A22" s="6" t="s">
        <v>8</v>
      </c>
      <c r="B22" s="40">
        <v>46281</v>
      </c>
      <c r="C22" s="6" t="s">
        <v>262</v>
      </c>
      <c r="D22" s="3" t="s">
        <v>205</v>
      </c>
      <c r="E22" s="3" t="s">
        <v>205</v>
      </c>
      <c r="F22" s="3" t="s">
        <v>205</v>
      </c>
    </row>
    <row r="23" spans="1:6" x14ac:dyDescent="0.45">
      <c r="A23" s="10" t="s">
        <v>16</v>
      </c>
      <c r="B23" s="41">
        <v>46266</v>
      </c>
      <c r="C23" s="10" t="s">
        <v>261</v>
      </c>
      <c r="D23" s="3" t="s">
        <v>205</v>
      </c>
      <c r="E23" s="3" t="s">
        <v>205</v>
      </c>
      <c r="F23" s="3" t="s">
        <v>205</v>
      </c>
    </row>
    <row r="24" spans="1:6" x14ac:dyDescent="0.45">
      <c r="A24" s="10" t="s">
        <v>16</v>
      </c>
      <c r="B24" s="41">
        <v>46267</v>
      </c>
      <c r="C24" s="10" t="s">
        <v>262</v>
      </c>
      <c r="D24" s="3" t="s">
        <v>205</v>
      </c>
      <c r="E24" s="3" t="s">
        <v>205</v>
      </c>
      <c r="F24" s="3" t="s">
        <v>205</v>
      </c>
    </row>
    <row r="25" spans="1:6" x14ac:dyDescent="0.45">
      <c r="A25" s="10" t="s">
        <v>16</v>
      </c>
      <c r="B25" s="41">
        <v>46268</v>
      </c>
      <c r="C25" s="10" t="s">
        <v>263</v>
      </c>
      <c r="D25" s="3" t="s">
        <v>205</v>
      </c>
      <c r="E25" s="3" t="s">
        <v>205</v>
      </c>
      <c r="F25" s="3" t="s">
        <v>205</v>
      </c>
    </row>
    <row r="26" spans="1:6" x14ac:dyDescent="0.45">
      <c r="A26" s="10" t="s">
        <v>16</v>
      </c>
      <c r="B26" s="41">
        <v>46269</v>
      </c>
      <c r="C26" s="10" t="s">
        <v>264</v>
      </c>
      <c r="D26" s="3" t="s">
        <v>205</v>
      </c>
      <c r="E26" s="3" t="s">
        <v>205</v>
      </c>
      <c r="F26" s="3" t="s">
        <v>205</v>
      </c>
    </row>
    <row r="27" spans="1:6" x14ac:dyDescent="0.45">
      <c r="A27" s="10" t="s">
        <v>16</v>
      </c>
      <c r="B27" s="41">
        <v>46270</v>
      </c>
      <c r="C27" s="10" t="s">
        <v>265</v>
      </c>
      <c r="D27" s="3" t="s">
        <v>205</v>
      </c>
      <c r="E27" s="3"/>
      <c r="F27" s="3"/>
    </row>
    <row r="28" spans="1:6" x14ac:dyDescent="0.45">
      <c r="A28" s="10" t="s">
        <v>16</v>
      </c>
      <c r="B28" s="41">
        <v>46271</v>
      </c>
      <c r="C28" s="10" t="s">
        <v>266</v>
      </c>
      <c r="D28" s="3"/>
      <c r="E28" s="3"/>
      <c r="F28" s="3"/>
    </row>
    <row r="29" spans="1:6" x14ac:dyDescent="0.45">
      <c r="A29" s="10" t="s">
        <v>16</v>
      </c>
      <c r="B29" s="41">
        <v>46272</v>
      </c>
      <c r="C29" s="10" t="s">
        <v>260</v>
      </c>
      <c r="D29" s="3" t="s">
        <v>205</v>
      </c>
      <c r="E29" s="3" t="s">
        <v>205</v>
      </c>
      <c r="F29" s="3" t="s">
        <v>205</v>
      </c>
    </row>
    <row r="30" spans="1:6" x14ac:dyDescent="0.45">
      <c r="A30" s="10" t="s">
        <v>16</v>
      </c>
      <c r="B30" s="41">
        <v>46273</v>
      </c>
      <c r="C30" s="10" t="s">
        <v>261</v>
      </c>
      <c r="D30" s="3" t="s">
        <v>205</v>
      </c>
      <c r="E30" s="3" t="s">
        <v>205</v>
      </c>
      <c r="F30" s="3" t="s">
        <v>205</v>
      </c>
    </row>
    <row r="31" spans="1:6" x14ac:dyDescent="0.45">
      <c r="A31" s="10" t="s">
        <v>16</v>
      </c>
      <c r="B31" s="41">
        <v>46274</v>
      </c>
      <c r="C31" s="10" t="s">
        <v>262</v>
      </c>
      <c r="D31" s="3" t="s">
        <v>205</v>
      </c>
      <c r="E31" s="3" t="s">
        <v>205</v>
      </c>
      <c r="F31" s="3" t="s">
        <v>205</v>
      </c>
    </row>
    <row r="32" spans="1:6" x14ac:dyDescent="0.45">
      <c r="A32" s="10" t="s">
        <v>16</v>
      </c>
      <c r="B32" s="41">
        <v>46275</v>
      </c>
      <c r="C32" s="10" t="s">
        <v>263</v>
      </c>
      <c r="D32" s="3" t="s">
        <v>205</v>
      </c>
      <c r="E32" s="3" t="s">
        <v>205</v>
      </c>
      <c r="F32" s="3" t="s">
        <v>205</v>
      </c>
    </row>
    <row r="33" spans="1:6" x14ac:dyDescent="0.45">
      <c r="A33" s="10" t="s">
        <v>16</v>
      </c>
      <c r="B33" s="41">
        <v>46276</v>
      </c>
      <c r="C33" s="10" t="s">
        <v>264</v>
      </c>
      <c r="D33" s="3" t="s">
        <v>205</v>
      </c>
      <c r="E33" s="3" t="s">
        <v>205</v>
      </c>
      <c r="F33" s="3" t="s">
        <v>205</v>
      </c>
    </row>
    <row r="34" spans="1:6" x14ac:dyDescent="0.45">
      <c r="A34" s="10" t="s">
        <v>16</v>
      </c>
      <c r="B34" s="41">
        <v>46277</v>
      </c>
      <c r="C34" s="10" t="s">
        <v>265</v>
      </c>
      <c r="D34" s="3" t="s">
        <v>205</v>
      </c>
      <c r="E34" s="3"/>
      <c r="F34" s="3"/>
    </row>
    <row r="35" spans="1:6" x14ac:dyDescent="0.45">
      <c r="A35" s="10" t="s">
        <v>16</v>
      </c>
      <c r="B35" s="41">
        <v>46278</v>
      </c>
      <c r="C35" s="10" t="s">
        <v>266</v>
      </c>
      <c r="D35" s="3"/>
      <c r="E35" s="3"/>
      <c r="F35" s="3"/>
    </row>
    <row r="36" spans="1:6" x14ac:dyDescent="0.45">
      <c r="A36" s="10" t="s">
        <v>16</v>
      </c>
      <c r="B36" s="41">
        <v>46279</v>
      </c>
      <c r="C36" s="10" t="s">
        <v>260</v>
      </c>
      <c r="D36" s="3" t="s">
        <v>205</v>
      </c>
      <c r="E36" s="3" t="s">
        <v>205</v>
      </c>
      <c r="F36" s="3" t="s">
        <v>205</v>
      </c>
    </row>
    <row r="37" spans="1:6" x14ac:dyDescent="0.45">
      <c r="A37" s="10" t="s">
        <v>16</v>
      </c>
      <c r="B37" s="41">
        <v>46280</v>
      </c>
      <c r="C37" s="10" t="s">
        <v>261</v>
      </c>
      <c r="D37" s="3" t="s">
        <v>205</v>
      </c>
      <c r="E37" s="3" t="s">
        <v>205</v>
      </c>
      <c r="F37" s="3" t="s">
        <v>205</v>
      </c>
    </row>
    <row r="38" spans="1:6" x14ac:dyDescent="0.45">
      <c r="A38" s="10" t="s">
        <v>16</v>
      </c>
      <c r="B38" s="41">
        <v>46281</v>
      </c>
      <c r="C38" s="10" t="s">
        <v>262</v>
      </c>
      <c r="D38" s="3" t="s">
        <v>205</v>
      </c>
      <c r="E38" s="3" t="s">
        <v>205</v>
      </c>
      <c r="F38" s="3" t="s">
        <v>205</v>
      </c>
    </row>
    <row r="39" spans="1:6" x14ac:dyDescent="0.45">
      <c r="A39" s="12" t="s">
        <v>17</v>
      </c>
      <c r="B39" s="42">
        <v>46266</v>
      </c>
      <c r="C39" s="12" t="s">
        <v>261</v>
      </c>
      <c r="D39" s="3" t="s">
        <v>205</v>
      </c>
      <c r="E39" s="3" t="s">
        <v>205</v>
      </c>
      <c r="F39" s="3" t="s">
        <v>205</v>
      </c>
    </row>
    <row r="40" spans="1:6" x14ac:dyDescent="0.45">
      <c r="A40" s="12" t="s">
        <v>17</v>
      </c>
      <c r="B40" s="42">
        <v>46267</v>
      </c>
      <c r="C40" s="12" t="s">
        <v>262</v>
      </c>
      <c r="D40" s="3" t="s">
        <v>205</v>
      </c>
      <c r="E40" s="3" t="s">
        <v>205</v>
      </c>
      <c r="F40" s="3" t="s">
        <v>205</v>
      </c>
    </row>
    <row r="41" spans="1:6" x14ac:dyDescent="0.45">
      <c r="A41" s="12" t="s">
        <v>17</v>
      </c>
      <c r="B41" s="42">
        <v>46268</v>
      </c>
      <c r="C41" s="12" t="s">
        <v>263</v>
      </c>
      <c r="D41" s="3" t="s">
        <v>205</v>
      </c>
      <c r="E41" s="3" t="s">
        <v>205</v>
      </c>
      <c r="F41" s="3" t="s">
        <v>205</v>
      </c>
    </row>
    <row r="42" spans="1:6" x14ac:dyDescent="0.45">
      <c r="A42" s="12" t="s">
        <v>17</v>
      </c>
      <c r="B42" s="42">
        <v>46269</v>
      </c>
      <c r="C42" s="12" t="s">
        <v>264</v>
      </c>
      <c r="D42" s="3" t="s">
        <v>205</v>
      </c>
      <c r="E42" s="3" t="s">
        <v>205</v>
      </c>
      <c r="F42" s="3" t="s">
        <v>205</v>
      </c>
    </row>
    <row r="43" spans="1:6" x14ac:dyDescent="0.45">
      <c r="A43" s="12" t="s">
        <v>17</v>
      </c>
      <c r="B43" s="42">
        <v>46270</v>
      </c>
      <c r="C43" s="12" t="s">
        <v>265</v>
      </c>
      <c r="D43" s="3" t="s">
        <v>205</v>
      </c>
      <c r="E43" s="3"/>
      <c r="F43" s="3"/>
    </row>
    <row r="44" spans="1:6" x14ac:dyDescent="0.45">
      <c r="A44" s="12" t="s">
        <v>17</v>
      </c>
      <c r="B44" s="42">
        <v>46271</v>
      </c>
      <c r="C44" s="12" t="s">
        <v>266</v>
      </c>
      <c r="D44" s="3"/>
      <c r="E44" s="3"/>
      <c r="F44" s="3"/>
    </row>
    <row r="45" spans="1:6" x14ac:dyDescent="0.45">
      <c r="A45" s="12" t="s">
        <v>17</v>
      </c>
      <c r="B45" s="42">
        <v>46272</v>
      </c>
      <c r="C45" s="12" t="s">
        <v>260</v>
      </c>
      <c r="D45" s="3" t="s">
        <v>205</v>
      </c>
      <c r="E45" s="3" t="s">
        <v>205</v>
      </c>
      <c r="F45" s="3" t="s">
        <v>205</v>
      </c>
    </row>
    <row r="46" spans="1:6" x14ac:dyDescent="0.45">
      <c r="A46" s="12" t="s">
        <v>17</v>
      </c>
      <c r="B46" s="42">
        <v>46273</v>
      </c>
      <c r="C46" s="12" t="s">
        <v>261</v>
      </c>
      <c r="D46" s="3" t="s">
        <v>205</v>
      </c>
      <c r="E46" s="3" t="s">
        <v>205</v>
      </c>
      <c r="F46" s="3" t="s">
        <v>205</v>
      </c>
    </row>
    <row r="47" spans="1:6" x14ac:dyDescent="0.45">
      <c r="A47" s="12" t="s">
        <v>17</v>
      </c>
      <c r="B47" s="42">
        <v>46274</v>
      </c>
      <c r="C47" s="12" t="s">
        <v>262</v>
      </c>
      <c r="D47" s="3" t="s">
        <v>205</v>
      </c>
      <c r="E47" s="3" t="s">
        <v>205</v>
      </c>
      <c r="F47" s="3" t="s">
        <v>205</v>
      </c>
    </row>
    <row r="48" spans="1:6" x14ac:dyDescent="0.45">
      <c r="A48" s="12" t="s">
        <v>17</v>
      </c>
      <c r="B48" s="42">
        <v>46275</v>
      </c>
      <c r="C48" s="12" t="s">
        <v>263</v>
      </c>
      <c r="D48" s="3" t="s">
        <v>205</v>
      </c>
      <c r="E48" s="3" t="s">
        <v>205</v>
      </c>
      <c r="F48" s="3" t="s">
        <v>205</v>
      </c>
    </row>
    <row r="49" spans="1:6" x14ac:dyDescent="0.45">
      <c r="A49" s="12" t="s">
        <v>17</v>
      </c>
      <c r="B49" s="42">
        <v>46276</v>
      </c>
      <c r="C49" s="12" t="s">
        <v>264</v>
      </c>
      <c r="D49" s="3" t="s">
        <v>205</v>
      </c>
      <c r="E49" s="3" t="s">
        <v>205</v>
      </c>
      <c r="F49" s="3" t="s">
        <v>205</v>
      </c>
    </row>
    <row r="50" spans="1:6" x14ac:dyDescent="0.45">
      <c r="A50" s="12" t="s">
        <v>17</v>
      </c>
      <c r="B50" s="42">
        <v>46277</v>
      </c>
      <c r="C50" s="12" t="s">
        <v>265</v>
      </c>
      <c r="D50" s="3" t="s">
        <v>205</v>
      </c>
      <c r="E50" s="3"/>
      <c r="F50" s="3"/>
    </row>
    <row r="51" spans="1:6" x14ac:dyDescent="0.45">
      <c r="A51" s="12" t="s">
        <v>17</v>
      </c>
      <c r="B51" s="42">
        <v>46278</v>
      </c>
      <c r="C51" s="12" t="s">
        <v>266</v>
      </c>
      <c r="D51" s="3"/>
      <c r="E51" s="3"/>
      <c r="F51" s="3"/>
    </row>
    <row r="52" spans="1:6" x14ac:dyDescent="0.45">
      <c r="A52" s="12" t="s">
        <v>17</v>
      </c>
      <c r="B52" s="42">
        <v>46279</v>
      </c>
      <c r="C52" s="12" t="s">
        <v>260</v>
      </c>
      <c r="D52" s="3" t="s">
        <v>205</v>
      </c>
      <c r="E52" s="3" t="s">
        <v>205</v>
      </c>
      <c r="F52" s="3" t="s">
        <v>205</v>
      </c>
    </row>
    <row r="53" spans="1:6" x14ac:dyDescent="0.45">
      <c r="A53" s="12" t="s">
        <v>17</v>
      </c>
      <c r="B53" s="42">
        <v>46280</v>
      </c>
      <c r="C53" s="12" t="s">
        <v>261</v>
      </c>
      <c r="D53" s="3" t="s">
        <v>205</v>
      </c>
      <c r="E53" s="3" t="s">
        <v>205</v>
      </c>
      <c r="F53" s="3" t="s">
        <v>205</v>
      </c>
    </row>
    <row r="54" spans="1:6" x14ac:dyDescent="0.45">
      <c r="A54" s="12" t="s">
        <v>17</v>
      </c>
      <c r="B54" s="42">
        <v>46281</v>
      </c>
      <c r="C54" s="12" t="s">
        <v>262</v>
      </c>
      <c r="D54" s="3" t="s">
        <v>205</v>
      </c>
      <c r="E54" s="3" t="s">
        <v>205</v>
      </c>
      <c r="F54" s="3" t="s">
        <v>205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4" t="s">
        <v>19</v>
      </c>
      <c r="B1" s="45"/>
      <c r="C1" s="45"/>
      <c r="D1" s="45"/>
      <c r="E1" s="45"/>
      <c r="F1" s="50"/>
      <c r="G1" s="50"/>
      <c r="H1" s="45"/>
    </row>
    <row r="2" spans="1:8" ht="15" customHeight="1" x14ac:dyDescent="0.45">
      <c r="A2" s="1" t="s">
        <v>20</v>
      </c>
      <c r="B2" s="1" t="s">
        <v>21</v>
      </c>
      <c r="C2" s="1" t="s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 ht="23.25" customHeight="1" x14ac:dyDescent="0.45">
      <c r="A3" s="22" t="s">
        <v>7</v>
      </c>
      <c r="B3" s="26" t="s">
        <v>27</v>
      </c>
      <c r="C3" s="5" t="s">
        <v>8</v>
      </c>
      <c r="D3" s="5" t="s">
        <v>28</v>
      </c>
      <c r="E3" s="3">
        <v>10</v>
      </c>
      <c r="F3" s="6">
        <v>0</v>
      </c>
      <c r="G3" s="6" t="s">
        <v>29</v>
      </c>
      <c r="H3" s="13" t="s">
        <v>30</v>
      </c>
    </row>
    <row r="4" spans="1:8" ht="15" customHeight="1" x14ac:dyDescent="0.45">
      <c r="A4" s="22" t="s">
        <v>9</v>
      </c>
      <c r="B4" s="22" t="s">
        <v>13</v>
      </c>
      <c r="C4" s="5" t="s">
        <v>8</v>
      </c>
      <c r="D4" s="5" t="s">
        <v>31</v>
      </c>
      <c r="E4" s="3">
        <v>10</v>
      </c>
      <c r="F4" s="6">
        <v>0</v>
      </c>
      <c r="G4" s="6" t="s">
        <v>29</v>
      </c>
      <c r="H4" s="13"/>
    </row>
    <row r="5" spans="1:8" ht="15" customHeight="1" x14ac:dyDescent="0.45">
      <c r="A5" s="22" t="s">
        <v>12</v>
      </c>
      <c r="B5" s="22" t="s">
        <v>13</v>
      </c>
      <c r="C5" s="5" t="s">
        <v>8</v>
      </c>
      <c r="D5" s="5" t="s">
        <v>32</v>
      </c>
      <c r="E5" s="3">
        <v>10</v>
      </c>
      <c r="F5" s="6">
        <v>0</v>
      </c>
      <c r="G5" s="6" t="s">
        <v>29</v>
      </c>
      <c r="H5" s="13"/>
    </row>
    <row r="6" spans="1:8" ht="15" customHeight="1" x14ac:dyDescent="0.45">
      <c r="A6" s="22" t="s">
        <v>13</v>
      </c>
      <c r="B6" s="22" t="s">
        <v>14</v>
      </c>
      <c r="C6" s="5" t="s">
        <v>8</v>
      </c>
      <c r="D6" s="5" t="s">
        <v>33</v>
      </c>
      <c r="E6" s="3">
        <v>10</v>
      </c>
      <c r="F6" s="6">
        <v>0</v>
      </c>
      <c r="G6" s="6" t="s">
        <v>29</v>
      </c>
      <c r="H6" s="13"/>
    </row>
    <row r="7" spans="1:8" ht="15" customHeight="1" x14ac:dyDescent="0.45">
      <c r="A7" s="22" t="s">
        <v>14</v>
      </c>
      <c r="B7" s="22" t="s">
        <v>15</v>
      </c>
      <c r="C7" s="5" t="s">
        <v>8</v>
      </c>
      <c r="D7" s="5" t="s">
        <v>34</v>
      </c>
      <c r="E7" s="3">
        <v>10</v>
      </c>
      <c r="F7" s="6">
        <v>0</v>
      </c>
      <c r="G7" s="6" t="s">
        <v>29</v>
      </c>
      <c r="H7" s="13"/>
    </row>
    <row r="8" spans="1:8" ht="15" customHeight="1" x14ac:dyDescent="0.45">
      <c r="A8" s="9" t="s">
        <v>7</v>
      </c>
      <c r="B8" s="9" t="s">
        <v>35</v>
      </c>
      <c r="C8" s="9" t="s">
        <v>16</v>
      </c>
      <c r="D8" s="9" t="s">
        <v>36</v>
      </c>
      <c r="E8" s="3">
        <v>10</v>
      </c>
      <c r="F8" s="10">
        <v>0</v>
      </c>
      <c r="G8" s="10" t="s">
        <v>29</v>
      </c>
      <c r="H8" s="14"/>
    </row>
    <row r="9" spans="1:8" ht="15" customHeight="1" x14ac:dyDescent="0.45">
      <c r="A9" s="9" t="s">
        <v>9</v>
      </c>
      <c r="B9" s="9" t="s">
        <v>13</v>
      </c>
      <c r="C9" s="9" t="s">
        <v>16</v>
      </c>
      <c r="D9" s="9" t="s">
        <v>37</v>
      </c>
      <c r="E9" s="3">
        <v>10</v>
      </c>
      <c r="F9" s="10">
        <v>0</v>
      </c>
      <c r="G9" s="10" t="s">
        <v>29</v>
      </c>
      <c r="H9" s="14"/>
    </row>
    <row r="10" spans="1:8" ht="15" customHeight="1" x14ac:dyDescent="0.45">
      <c r="A10" s="9" t="s">
        <v>13</v>
      </c>
      <c r="B10" s="9" t="s">
        <v>14</v>
      </c>
      <c r="C10" s="9" t="s">
        <v>16</v>
      </c>
      <c r="D10" s="9" t="s">
        <v>38</v>
      </c>
      <c r="E10" s="3">
        <v>10</v>
      </c>
      <c r="F10" s="10">
        <v>0</v>
      </c>
      <c r="G10" s="10" t="s">
        <v>29</v>
      </c>
      <c r="H10" s="14"/>
    </row>
    <row r="11" spans="1:8" ht="15" customHeight="1" x14ac:dyDescent="0.45">
      <c r="A11" s="9" t="s">
        <v>14</v>
      </c>
      <c r="B11" s="9" t="s">
        <v>15</v>
      </c>
      <c r="C11" s="9" t="s">
        <v>16</v>
      </c>
      <c r="D11" s="9" t="s">
        <v>39</v>
      </c>
      <c r="E11" s="3">
        <v>10</v>
      </c>
      <c r="F11" s="10">
        <v>0</v>
      </c>
      <c r="G11" s="10" t="s">
        <v>29</v>
      </c>
      <c r="H11" s="14"/>
    </row>
    <row r="12" spans="1:8" ht="15" customHeight="1" x14ac:dyDescent="0.45">
      <c r="A12" s="11" t="s">
        <v>7</v>
      </c>
      <c r="B12" s="11" t="s">
        <v>13</v>
      </c>
      <c r="C12" s="11" t="s">
        <v>17</v>
      </c>
      <c r="D12" s="11" t="s">
        <v>40</v>
      </c>
      <c r="E12" s="3">
        <v>10</v>
      </c>
      <c r="F12" s="12">
        <v>0</v>
      </c>
      <c r="G12" s="12" t="s">
        <v>29</v>
      </c>
      <c r="H12" s="15"/>
    </row>
    <row r="13" spans="1:8" ht="15" customHeight="1" x14ac:dyDescent="0.45">
      <c r="A13" s="11" t="s">
        <v>13</v>
      </c>
      <c r="B13" s="11" t="s">
        <v>14</v>
      </c>
      <c r="C13" s="11" t="s">
        <v>17</v>
      </c>
      <c r="D13" s="11" t="s">
        <v>41</v>
      </c>
      <c r="E13" s="3">
        <v>10</v>
      </c>
      <c r="F13" s="12">
        <v>0</v>
      </c>
      <c r="G13" s="12" t="s">
        <v>29</v>
      </c>
      <c r="H13" s="15"/>
    </row>
    <row r="14" spans="1:8" ht="15" customHeight="1" x14ac:dyDescent="0.45">
      <c r="A14" s="11" t="s">
        <v>14</v>
      </c>
      <c r="B14" s="11" t="s">
        <v>15</v>
      </c>
      <c r="C14" s="11" t="s">
        <v>17</v>
      </c>
      <c r="D14" s="11" t="s">
        <v>42</v>
      </c>
      <c r="E14" s="3">
        <v>10</v>
      </c>
      <c r="F14" s="12">
        <v>0</v>
      </c>
      <c r="G14" s="12" t="s">
        <v>29</v>
      </c>
      <c r="H14" s="15"/>
    </row>
    <row r="16" spans="1:8" ht="15" customHeight="1" x14ac:dyDescent="0.45">
      <c r="A16" s="49" t="s">
        <v>43</v>
      </c>
      <c r="B16" s="45"/>
      <c r="C16" s="45"/>
      <c r="D16" s="45"/>
      <c r="E16" s="45"/>
      <c r="F16" s="50"/>
      <c r="G16" s="50"/>
      <c r="H16" s="45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44</v>
      </c>
      <c r="B1" s="24" t="s">
        <v>45</v>
      </c>
      <c r="C1" s="24" t="s">
        <v>1</v>
      </c>
      <c r="D1" s="24" t="s">
        <v>46</v>
      </c>
      <c r="E1" s="24" t="s">
        <v>47</v>
      </c>
      <c r="F1" s="1" t="s">
        <v>48</v>
      </c>
      <c r="G1" s="24" t="s">
        <v>49</v>
      </c>
      <c r="H1" s="24" t="s">
        <v>50</v>
      </c>
      <c r="I1" s="24" t="s">
        <v>51</v>
      </c>
      <c r="J1" s="24" t="s">
        <v>52</v>
      </c>
      <c r="K1" s="24" t="s">
        <v>53</v>
      </c>
    </row>
    <row r="2" spans="1:12" x14ac:dyDescent="0.45">
      <c r="A2" s="3" t="s">
        <v>54</v>
      </c>
      <c r="B2" s="3" t="s">
        <v>55</v>
      </c>
      <c r="C2" s="3" t="s">
        <v>56</v>
      </c>
      <c r="D2" s="3" t="s">
        <v>57</v>
      </c>
      <c r="E2" s="3" t="s">
        <v>7</v>
      </c>
      <c r="F2" s="3" t="s">
        <v>58</v>
      </c>
      <c r="G2" s="28">
        <v>1000000</v>
      </c>
      <c r="H2" s="28">
        <v>1000000</v>
      </c>
      <c r="I2" s="28" t="s">
        <v>57</v>
      </c>
      <c r="J2" s="28">
        <v>25</v>
      </c>
      <c r="K2" s="28">
        <v>1000</v>
      </c>
      <c r="L2" t="s">
        <v>59</v>
      </c>
    </row>
    <row r="3" spans="1:12" x14ac:dyDescent="0.45">
      <c r="A3" s="3" t="s">
        <v>54</v>
      </c>
      <c r="B3" s="3" t="s">
        <v>55</v>
      </c>
      <c r="C3" s="3" t="s">
        <v>56</v>
      </c>
      <c r="D3" s="3" t="s">
        <v>57</v>
      </c>
      <c r="E3" s="3" t="s">
        <v>10</v>
      </c>
      <c r="F3" s="3" t="s">
        <v>60</v>
      </c>
      <c r="G3" s="28">
        <v>1000000</v>
      </c>
      <c r="H3" s="28">
        <v>1000000</v>
      </c>
      <c r="I3" s="28" t="s">
        <v>57</v>
      </c>
      <c r="J3" s="28">
        <v>25</v>
      </c>
      <c r="K3" s="28">
        <v>1000</v>
      </c>
      <c r="L3" t="s">
        <v>59</v>
      </c>
    </row>
    <row r="4" spans="1:12" x14ac:dyDescent="0.45">
      <c r="A4" s="3" t="s">
        <v>54</v>
      </c>
      <c r="B4" s="3" t="s">
        <v>55</v>
      </c>
      <c r="C4" s="3" t="s">
        <v>56</v>
      </c>
      <c r="D4" s="3" t="s">
        <v>57</v>
      </c>
      <c r="E4" s="3" t="s">
        <v>11</v>
      </c>
      <c r="F4" s="3" t="s">
        <v>61</v>
      </c>
      <c r="G4" s="28">
        <v>1000000</v>
      </c>
      <c r="H4" s="28">
        <v>1000000</v>
      </c>
      <c r="I4" s="28" t="s">
        <v>57</v>
      </c>
      <c r="J4" s="28">
        <v>25</v>
      </c>
      <c r="K4" s="28">
        <v>1000</v>
      </c>
      <c r="L4" t="s">
        <v>59</v>
      </c>
    </row>
    <row r="5" spans="1:12" x14ac:dyDescent="0.45">
      <c r="A5" s="3" t="s">
        <v>62</v>
      </c>
      <c r="B5" s="3" t="s">
        <v>63</v>
      </c>
      <c r="C5" s="3" t="s">
        <v>10</v>
      </c>
      <c r="D5" s="3" t="s">
        <v>55</v>
      </c>
      <c r="E5" s="3" t="s">
        <v>10</v>
      </c>
      <c r="F5" s="3" t="s">
        <v>60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64</v>
      </c>
      <c r="B6" s="3" t="s">
        <v>63</v>
      </c>
      <c r="C6" s="3" t="s">
        <v>11</v>
      </c>
      <c r="D6" s="3" t="s">
        <v>57</v>
      </c>
      <c r="E6" s="3" t="s">
        <v>11</v>
      </c>
      <c r="F6" s="3" t="s">
        <v>61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65</v>
      </c>
      <c r="B7" s="3" t="s">
        <v>55</v>
      </c>
      <c r="C7" s="3" t="s">
        <v>10</v>
      </c>
      <c r="D7" s="3" t="s">
        <v>10</v>
      </c>
      <c r="E7" s="3" t="s">
        <v>7</v>
      </c>
      <c r="F7" s="3" t="s">
        <v>66</v>
      </c>
      <c r="G7" s="27">
        <v>300</v>
      </c>
      <c r="H7" s="27">
        <v>150</v>
      </c>
      <c r="I7" s="27" t="s">
        <v>57</v>
      </c>
      <c r="J7" s="27">
        <v>25</v>
      </c>
      <c r="K7" s="27" t="s">
        <v>57</v>
      </c>
    </row>
    <row r="8" spans="1:12" x14ac:dyDescent="0.45">
      <c r="A8" s="3" t="s">
        <v>67</v>
      </c>
      <c r="B8" s="3" t="s">
        <v>55</v>
      </c>
      <c r="C8" s="3" t="s">
        <v>11</v>
      </c>
      <c r="D8" s="3" t="s">
        <v>11</v>
      </c>
      <c r="E8" s="3" t="s">
        <v>7</v>
      </c>
      <c r="F8" s="3" t="s">
        <v>11</v>
      </c>
      <c r="G8" s="27">
        <v>300</v>
      </c>
      <c r="H8" s="27">
        <v>150</v>
      </c>
      <c r="I8" s="27" t="s">
        <v>57</v>
      </c>
      <c r="J8" s="27">
        <v>25</v>
      </c>
      <c r="K8" s="27" t="s">
        <v>57</v>
      </c>
    </row>
    <row r="9" spans="1:12" x14ac:dyDescent="0.45">
      <c r="A9" s="3" t="s">
        <v>68</v>
      </c>
      <c r="B9" s="3" t="s">
        <v>63</v>
      </c>
      <c r="C9" s="3" t="s">
        <v>8</v>
      </c>
      <c r="D9" s="3" t="s">
        <v>55</v>
      </c>
      <c r="E9" s="3" t="s">
        <v>7</v>
      </c>
      <c r="F9" s="3" t="s">
        <v>10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68</v>
      </c>
      <c r="B10" s="3" t="s">
        <v>63</v>
      </c>
      <c r="C10" s="3" t="s">
        <v>8</v>
      </c>
      <c r="D10" s="3" t="s">
        <v>55</v>
      </c>
      <c r="E10" s="3" t="s">
        <v>7</v>
      </c>
      <c r="F10" s="3" t="s">
        <v>11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68</v>
      </c>
      <c r="B11" s="3" t="s">
        <v>63</v>
      </c>
      <c r="C11" s="3" t="s">
        <v>8</v>
      </c>
      <c r="D11" s="3" t="s">
        <v>55</v>
      </c>
      <c r="E11" s="3" t="s">
        <v>7</v>
      </c>
      <c r="F11" s="3" t="s">
        <v>58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69</v>
      </c>
      <c r="B12" s="3" t="s">
        <v>63</v>
      </c>
      <c r="C12" s="3" t="s">
        <v>16</v>
      </c>
      <c r="D12" s="3" t="s">
        <v>55</v>
      </c>
      <c r="E12" s="3" t="s">
        <v>7</v>
      </c>
      <c r="F12" s="3" t="s">
        <v>58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70</v>
      </c>
      <c r="B13" s="3" t="s">
        <v>63</v>
      </c>
      <c r="C13" s="3" t="s">
        <v>17</v>
      </c>
      <c r="D13" s="3" t="s">
        <v>55</v>
      </c>
      <c r="E13" s="3" t="s">
        <v>7</v>
      </c>
      <c r="F13" s="3" t="s">
        <v>58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71</v>
      </c>
      <c r="B14" s="3" t="s">
        <v>55</v>
      </c>
      <c r="C14" s="3" t="s">
        <v>56</v>
      </c>
      <c r="D14" s="3" t="s">
        <v>72</v>
      </c>
      <c r="E14" s="3" t="s">
        <v>57</v>
      </c>
      <c r="F14" s="3" t="s">
        <v>73</v>
      </c>
      <c r="G14" s="28">
        <v>1000000</v>
      </c>
      <c r="H14" s="28">
        <v>0</v>
      </c>
      <c r="I14" s="28" t="s">
        <v>57</v>
      </c>
      <c r="J14" s="28">
        <v>50</v>
      </c>
      <c r="K14" s="2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4"/>
      <c r="B1" s="45"/>
      <c r="C1" s="45"/>
      <c r="D1" s="45"/>
      <c r="E1" s="45"/>
      <c r="F1" s="45"/>
      <c r="G1" s="45"/>
    </row>
    <row r="2" spans="1:8" ht="15" customHeight="1" x14ac:dyDescent="0.45">
      <c r="A2" s="1" t="s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spans="1:8" ht="15" customHeight="1" x14ac:dyDescent="0.45">
      <c r="A3" s="6" t="s">
        <v>8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16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17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9" t="s">
        <v>80</v>
      </c>
      <c r="B7" s="45"/>
      <c r="C7" s="45"/>
      <c r="D7" s="45"/>
      <c r="E7" s="45"/>
      <c r="F7" s="45"/>
      <c r="G7" s="45"/>
      <c r="H7" s="45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4" t="s">
        <v>81</v>
      </c>
      <c r="B1" s="45"/>
      <c r="C1" s="45"/>
    </row>
    <row r="2" spans="1:3" ht="15" customHeight="1" x14ac:dyDescent="0.45">
      <c r="A2" s="1" t="s">
        <v>2</v>
      </c>
      <c r="B2" s="1" t="s">
        <v>82</v>
      </c>
      <c r="C2" s="1" t="s">
        <v>26</v>
      </c>
    </row>
    <row r="3" spans="1:3" ht="15" customHeight="1" x14ac:dyDescent="0.45">
      <c r="A3" s="6" t="s">
        <v>8</v>
      </c>
      <c r="B3" s="3" t="s">
        <v>83</v>
      </c>
      <c r="C3" s="13"/>
    </row>
    <row r="4" spans="1:3" ht="15" customHeight="1" x14ac:dyDescent="0.45">
      <c r="A4" s="6" t="s">
        <v>16</v>
      </c>
      <c r="B4" s="3" t="s">
        <v>84</v>
      </c>
      <c r="C4" s="13"/>
    </row>
    <row r="5" spans="1:3" ht="15" customHeight="1" x14ac:dyDescent="0.45">
      <c r="A5" s="6" t="s">
        <v>17</v>
      </c>
      <c r="B5" s="3" t="s">
        <v>85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4" t="s">
        <v>93</v>
      </c>
      <c r="B1" s="45"/>
      <c r="C1" s="45"/>
      <c r="D1" s="45"/>
      <c r="E1" s="45"/>
    </row>
    <row r="2" spans="1:5" ht="15" customHeight="1" x14ac:dyDescent="0.4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5" customHeight="1" x14ac:dyDescent="0.45">
      <c r="A3" s="18" t="s">
        <v>99</v>
      </c>
      <c r="B3" s="5" t="s">
        <v>100</v>
      </c>
      <c r="C3" s="4">
        <v>200</v>
      </c>
      <c r="D3" s="6" t="s">
        <v>101</v>
      </c>
      <c r="E3" s="2" t="s">
        <v>102</v>
      </c>
    </row>
    <row r="4" spans="1:5" ht="25.5" customHeight="1" x14ac:dyDescent="0.45">
      <c r="A4" s="19" t="s">
        <v>103</v>
      </c>
      <c r="B4" s="9" t="s">
        <v>104</v>
      </c>
      <c r="C4" s="2" t="s">
        <v>105</v>
      </c>
      <c r="D4" s="10" t="s">
        <v>106</v>
      </c>
      <c r="E4" s="2" t="s">
        <v>102</v>
      </c>
    </row>
    <row r="5" spans="1:5" ht="15" customHeight="1" x14ac:dyDescent="0.45">
      <c r="A5" s="18" t="s">
        <v>107</v>
      </c>
      <c r="B5" s="5" t="s">
        <v>108</v>
      </c>
      <c r="C5" s="2" t="s">
        <v>109</v>
      </c>
      <c r="D5" s="6" t="s">
        <v>106</v>
      </c>
      <c r="E5" s="2" t="s">
        <v>110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19"/>
  <sheetViews>
    <sheetView workbookViewId="0">
      <selection activeCell="A2" sqref="A2:G19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6640625" bestFit="1" customWidth="1"/>
    <col min="7" max="7" width="13.46484375" bestFit="1" customWidth="1"/>
  </cols>
  <sheetData>
    <row r="1" spans="1:7" x14ac:dyDescent="0.45">
      <c r="A1" s="29" t="s">
        <v>2</v>
      </c>
      <c r="B1" s="32" t="s">
        <v>219</v>
      </c>
      <c r="C1" s="29" t="s">
        <v>45</v>
      </c>
      <c r="D1" s="29" t="s">
        <v>218</v>
      </c>
      <c r="E1" s="29" t="s">
        <v>323</v>
      </c>
      <c r="F1" s="29" t="s">
        <v>221</v>
      </c>
      <c r="G1" s="29" t="s">
        <v>201</v>
      </c>
    </row>
    <row r="2" spans="1:7" x14ac:dyDescent="0.45">
      <c r="A2" t="s">
        <v>8</v>
      </c>
      <c r="B2" s="31">
        <v>1</v>
      </c>
      <c r="C2" t="s">
        <v>217</v>
      </c>
      <c r="D2">
        <v>10</v>
      </c>
      <c r="E2" t="s">
        <v>188</v>
      </c>
      <c r="F2">
        <v>10</v>
      </c>
      <c r="G2">
        <v>0</v>
      </c>
    </row>
    <row r="3" spans="1:7" x14ac:dyDescent="0.45">
      <c r="A3" t="s">
        <v>8</v>
      </c>
      <c r="B3" s="31">
        <v>2</v>
      </c>
      <c r="C3" t="s">
        <v>217</v>
      </c>
      <c r="D3">
        <v>10</v>
      </c>
      <c r="E3" t="s">
        <v>188</v>
      </c>
      <c r="F3">
        <v>9</v>
      </c>
      <c r="G3">
        <v>0</v>
      </c>
    </row>
    <row r="4" spans="1:7" x14ac:dyDescent="0.45">
      <c r="A4" t="s">
        <v>8</v>
      </c>
      <c r="B4" s="31">
        <v>3</v>
      </c>
      <c r="C4" t="s">
        <v>217</v>
      </c>
      <c r="D4">
        <v>12</v>
      </c>
      <c r="E4" t="s">
        <v>178</v>
      </c>
      <c r="F4">
        <v>12</v>
      </c>
      <c r="G4">
        <v>0</v>
      </c>
    </row>
    <row r="5" spans="1:7" x14ac:dyDescent="0.45">
      <c r="A5" t="s">
        <v>8</v>
      </c>
      <c r="B5" s="31">
        <v>4</v>
      </c>
      <c r="C5" t="s">
        <v>217</v>
      </c>
      <c r="D5">
        <v>10</v>
      </c>
      <c r="E5" t="s">
        <v>166</v>
      </c>
      <c r="F5">
        <v>10</v>
      </c>
      <c r="G5">
        <v>0</v>
      </c>
    </row>
    <row r="6" spans="1:7" x14ac:dyDescent="0.45">
      <c r="A6" t="s">
        <v>8</v>
      </c>
      <c r="B6" s="31">
        <v>5</v>
      </c>
      <c r="C6" t="s">
        <v>217</v>
      </c>
      <c r="D6">
        <v>10</v>
      </c>
      <c r="E6" t="s">
        <v>166</v>
      </c>
      <c r="F6">
        <v>9</v>
      </c>
      <c r="G6">
        <v>0</v>
      </c>
    </row>
    <row r="7" spans="1:7" x14ac:dyDescent="0.45">
      <c r="A7" t="s">
        <v>8</v>
      </c>
      <c r="B7" s="31">
        <v>6</v>
      </c>
      <c r="C7" t="s">
        <v>217</v>
      </c>
      <c r="D7">
        <v>10</v>
      </c>
      <c r="E7" t="s">
        <v>158</v>
      </c>
      <c r="F7">
        <v>10</v>
      </c>
      <c r="G7">
        <v>0</v>
      </c>
    </row>
    <row r="8" spans="1:7" x14ac:dyDescent="0.45">
      <c r="A8" t="s">
        <v>8</v>
      </c>
      <c r="B8" s="31">
        <v>7</v>
      </c>
      <c r="C8" t="s">
        <v>217</v>
      </c>
      <c r="D8">
        <v>10</v>
      </c>
      <c r="E8" t="s">
        <v>158</v>
      </c>
      <c r="F8">
        <v>4</v>
      </c>
      <c r="G8">
        <v>0</v>
      </c>
    </row>
    <row r="9" spans="1:7" x14ac:dyDescent="0.45">
      <c r="A9" t="s">
        <v>8</v>
      </c>
      <c r="B9" s="31">
        <v>8</v>
      </c>
      <c r="C9" t="s">
        <v>220</v>
      </c>
      <c r="D9">
        <v>10</v>
      </c>
      <c r="F9">
        <v>0</v>
      </c>
      <c r="G9">
        <v>0</v>
      </c>
    </row>
    <row r="10" spans="1:7" x14ac:dyDescent="0.45">
      <c r="A10" t="s">
        <v>8</v>
      </c>
      <c r="B10" s="31">
        <v>9</v>
      </c>
      <c r="C10" t="s">
        <v>220</v>
      </c>
      <c r="D10">
        <v>10</v>
      </c>
      <c r="F10">
        <v>0</v>
      </c>
      <c r="G10">
        <v>0</v>
      </c>
    </row>
    <row r="11" spans="1:7" x14ac:dyDescent="0.45">
      <c r="A11" t="s">
        <v>16</v>
      </c>
      <c r="B11" s="31">
        <v>1</v>
      </c>
      <c r="C11" t="s">
        <v>217</v>
      </c>
      <c r="D11">
        <v>10</v>
      </c>
      <c r="E11" t="s">
        <v>188</v>
      </c>
      <c r="F11">
        <v>10</v>
      </c>
      <c r="G11">
        <v>0</v>
      </c>
    </row>
    <row r="12" spans="1:7" x14ac:dyDescent="0.45">
      <c r="A12" t="s">
        <v>16</v>
      </c>
      <c r="B12" s="31">
        <v>2</v>
      </c>
      <c r="C12" t="s">
        <v>217</v>
      </c>
      <c r="D12">
        <v>10</v>
      </c>
      <c r="E12" t="s">
        <v>188</v>
      </c>
      <c r="F12">
        <v>9</v>
      </c>
      <c r="G12">
        <v>0</v>
      </c>
    </row>
    <row r="13" spans="1:7" x14ac:dyDescent="0.45">
      <c r="A13" t="s">
        <v>16</v>
      </c>
      <c r="B13" s="31">
        <v>3</v>
      </c>
      <c r="C13" t="s">
        <v>217</v>
      </c>
      <c r="D13">
        <v>12</v>
      </c>
      <c r="E13" t="s">
        <v>178</v>
      </c>
      <c r="F13">
        <v>12</v>
      </c>
      <c r="G13">
        <v>0</v>
      </c>
    </row>
    <row r="14" spans="1:7" x14ac:dyDescent="0.45">
      <c r="A14" t="s">
        <v>16</v>
      </c>
      <c r="B14" s="31">
        <v>4</v>
      </c>
      <c r="C14" t="s">
        <v>217</v>
      </c>
      <c r="D14">
        <v>12</v>
      </c>
      <c r="E14" t="s">
        <v>193</v>
      </c>
      <c r="F14">
        <v>12</v>
      </c>
      <c r="G14">
        <v>0</v>
      </c>
    </row>
    <row r="15" spans="1:7" x14ac:dyDescent="0.45">
      <c r="A15" t="s">
        <v>16</v>
      </c>
      <c r="B15" s="31">
        <v>5</v>
      </c>
      <c r="C15" t="s">
        <v>217</v>
      </c>
      <c r="D15">
        <v>12</v>
      </c>
      <c r="E15" t="s">
        <v>193</v>
      </c>
      <c r="F15">
        <v>12</v>
      </c>
      <c r="G15">
        <v>0</v>
      </c>
    </row>
    <row r="16" spans="1:7" x14ac:dyDescent="0.45">
      <c r="A16" t="s">
        <v>16</v>
      </c>
      <c r="B16" s="31">
        <v>6</v>
      </c>
      <c r="C16" t="s">
        <v>220</v>
      </c>
      <c r="D16">
        <v>10</v>
      </c>
      <c r="F16">
        <v>0</v>
      </c>
      <c r="G16">
        <v>0</v>
      </c>
    </row>
    <row r="17" spans="1:7" x14ac:dyDescent="0.45">
      <c r="A17" t="s">
        <v>16</v>
      </c>
      <c r="B17" s="31">
        <v>7</v>
      </c>
      <c r="C17" t="s">
        <v>220</v>
      </c>
      <c r="D17">
        <v>10</v>
      </c>
      <c r="F17">
        <v>0</v>
      </c>
      <c r="G17">
        <v>0</v>
      </c>
    </row>
    <row r="18" spans="1:7" x14ac:dyDescent="0.45">
      <c r="A18" t="s">
        <v>17</v>
      </c>
      <c r="B18" s="31">
        <v>1</v>
      </c>
      <c r="C18" t="s">
        <v>220</v>
      </c>
      <c r="D18">
        <v>10</v>
      </c>
      <c r="F18">
        <v>10</v>
      </c>
      <c r="G18">
        <v>0</v>
      </c>
    </row>
    <row r="19" spans="1:7" x14ac:dyDescent="0.45">
      <c r="A19" t="s">
        <v>17</v>
      </c>
      <c r="B19" s="31">
        <v>2</v>
      </c>
      <c r="C19" t="s">
        <v>220</v>
      </c>
      <c r="D19">
        <v>10</v>
      </c>
      <c r="F19">
        <v>10</v>
      </c>
      <c r="G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1" topLeftCell="A2" activePane="bottomLeft" state="frozen"/>
      <selection pane="bottomLeft" activeCell="E10" activeCellId="1" sqref="A8:E8 A10:E1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4" t="s">
        <v>86</v>
      </c>
      <c r="B1" s="44"/>
      <c r="C1" s="44"/>
      <c r="D1" s="44"/>
      <c r="E1" s="44"/>
    </row>
    <row r="2" spans="1:5" ht="29.35" customHeight="1" x14ac:dyDescent="0.45">
      <c r="A2" s="51" t="s">
        <v>206</v>
      </c>
      <c r="B2" s="51"/>
      <c r="C2" s="51"/>
      <c r="D2" s="51"/>
      <c r="E2" s="51"/>
    </row>
    <row r="3" spans="1:5" s="25" customFormat="1" x14ac:dyDescent="0.45">
      <c r="A3" s="36" t="s">
        <v>207</v>
      </c>
      <c r="B3" s="36" t="s">
        <v>200</v>
      </c>
      <c r="C3" s="36" t="s">
        <v>222</v>
      </c>
      <c r="D3" s="36" t="s">
        <v>223</v>
      </c>
      <c r="E3" s="36" t="s">
        <v>224</v>
      </c>
    </row>
    <row r="4" spans="1:5" x14ac:dyDescent="0.45">
      <c r="A4" s="37" t="s">
        <v>216</v>
      </c>
      <c r="B4" s="37" t="s">
        <v>242</v>
      </c>
      <c r="C4" s="38" t="s">
        <v>87</v>
      </c>
      <c r="D4" s="39">
        <v>1000</v>
      </c>
      <c r="E4" s="37" t="s">
        <v>228</v>
      </c>
    </row>
    <row r="5" spans="1:5" x14ac:dyDescent="0.45">
      <c r="A5" s="37" t="s">
        <v>210</v>
      </c>
      <c r="B5" s="37" t="s">
        <v>270</v>
      </c>
      <c r="C5" s="38" t="s">
        <v>176</v>
      </c>
      <c r="D5" s="39">
        <v>500</v>
      </c>
      <c r="E5" s="37" t="s">
        <v>228</v>
      </c>
    </row>
    <row r="6" spans="1:5" x14ac:dyDescent="0.45">
      <c r="A6" s="37" t="s">
        <v>210</v>
      </c>
      <c r="B6" s="37" t="s">
        <v>243</v>
      </c>
      <c r="C6" s="38" t="s">
        <v>89</v>
      </c>
      <c r="D6" s="39">
        <v>1600</v>
      </c>
      <c r="E6" s="37" t="s">
        <v>226</v>
      </c>
    </row>
    <row r="7" spans="1:5" x14ac:dyDescent="0.45">
      <c r="A7" s="37" t="s">
        <v>210</v>
      </c>
      <c r="B7" s="37" t="s">
        <v>244</v>
      </c>
      <c r="C7" s="38" t="s">
        <v>174</v>
      </c>
      <c r="D7" s="39">
        <v>200</v>
      </c>
      <c r="E7" s="37" t="s">
        <v>227</v>
      </c>
    </row>
    <row r="8" spans="1:5" x14ac:dyDescent="0.45">
      <c r="A8" s="37" t="s">
        <v>210</v>
      </c>
      <c r="B8" s="37" t="s">
        <v>245</v>
      </c>
      <c r="C8" s="38" t="s">
        <v>85</v>
      </c>
      <c r="D8" s="39">
        <v>2800</v>
      </c>
      <c r="E8" s="37" t="s">
        <v>227</v>
      </c>
    </row>
    <row r="9" spans="1:5" x14ac:dyDescent="0.45">
      <c r="A9" s="37" t="s">
        <v>210</v>
      </c>
      <c r="B9" s="37" t="s">
        <v>246</v>
      </c>
      <c r="C9" s="38" t="s">
        <v>163</v>
      </c>
      <c r="D9" s="39">
        <v>1000</v>
      </c>
      <c r="E9" s="37" t="s">
        <v>228</v>
      </c>
    </row>
    <row r="10" spans="1:5" x14ac:dyDescent="0.45">
      <c r="A10" s="37" t="s">
        <v>211</v>
      </c>
      <c r="B10" s="37" t="s">
        <v>247</v>
      </c>
      <c r="C10" s="38" t="s">
        <v>85</v>
      </c>
      <c r="D10" s="39">
        <v>200</v>
      </c>
      <c r="E10" s="37" t="s">
        <v>227</v>
      </c>
    </row>
    <row r="11" spans="1:5" x14ac:dyDescent="0.45">
      <c r="A11" s="37" t="s">
        <v>211</v>
      </c>
      <c r="B11" s="37" t="s">
        <v>273</v>
      </c>
      <c r="C11" s="38" t="s">
        <v>186</v>
      </c>
      <c r="D11" s="39">
        <v>1600</v>
      </c>
      <c r="E11" s="37" t="s">
        <v>227</v>
      </c>
    </row>
    <row r="12" spans="1:5" x14ac:dyDescent="0.45">
      <c r="A12" s="37" t="s">
        <v>211</v>
      </c>
      <c r="B12" s="37" t="s">
        <v>274</v>
      </c>
      <c r="C12" s="38" t="s">
        <v>162</v>
      </c>
      <c r="D12" s="39">
        <v>600</v>
      </c>
      <c r="E12" s="37" t="s">
        <v>228</v>
      </c>
    </row>
    <row r="13" spans="1:5" x14ac:dyDescent="0.45">
      <c r="A13" s="37" t="s">
        <v>211</v>
      </c>
      <c r="B13" s="37" t="s">
        <v>248</v>
      </c>
      <c r="C13" s="38" t="s">
        <v>164</v>
      </c>
      <c r="D13" s="39">
        <v>3000</v>
      </c>
      <c r="E13" s="37" t="s">
        <v>228</v>
      </c>
    </row>
    <row r="14" spans="1:5" x14ac:dyDescent="0.45">
      <c r="A14" s="37" t="s">
        <v>212</v>
      </c>
      <c r="B14" s="37" t="s">
        <v>249</v>
      </c>
      <c r="C14" s="38" t="s">
        <v>145</v>
      </c>
      <c r="D14" s="39">
        <v>600</v>
      </c>
      <c r="E14" s="37" t="s">
        <v>228</v>
      </c>
    </row>
    <row r="15" spans="1:5" x14ac:dyDescent="0.45">
      <c r="A15" s="37" t="s">
        <v>212</v>
      </c>
      <c r="B15" s="37" t="s">
        <v>250</v>
      </c>
      <c r="C15" s="38" t="s">
        <v>85</v>
      </c>
      <c r="D15" s="39">
        <v>400</v>
      </c>
      <c r="E15" s="37" t="s">
        <v>227</v>
      </c>
    </row>
    <row r="16" spans="1:5" x14ac:dyDescent="0.45">
      <c r="A16" s="37" t="s">
        <v>213</v>
      </c>
      <c r="B16" s="37" t="s">
        <v>251</v>
      </c>
      <c r="C16" s="38" t="s">
        <v>175</v>
      </c>
      <c r="D16" s="39">
        <v>1200</v>
      </c>
      <c r="E16" s="37" t="s">
        <v>227</v>
      </c>
    </row>
    <row r="17" spans="1:5" x14ac:dyDescent="0.45">
      <c r="A17" s="37" t="s">
        <v>214</v>
      </c>
      <c r="B17" s="37" t="s">
        <v>252</v>
      </c>
      <c r="C17" s="38" t="s">
        <v>160</v>
      </c>
      <c r="D17" s="39">
        <v>1200</v>
      </c>
      <c r="E17" s="37" t="s">
        <v>228</v>
      </c>
    </row>
    <row r="18" spans="1:5" x14ac:dyDescent="0.45">
      <c r="A18" s="37" t="s">
        <v>214</v>
      </c>
      <c r="B18" s="37" t="s">
        <v>253</v>
      </c>
      <c r="C18" s="38" t="s">
        <v>174</v>
      </c>
      <c r="D18" s="39">
        <v>2200</v>
      </c>
      <c r="E18" s="37" t="s">
        <v>227</v>
      </c>
    </row>
    <row r="19" spans="1:5" x14ac:dyDescent="0.45">
      <c r="A19" s="37" t="s">
        <v>215</v>
      </c>
      <c r="B19" s="37" t="s">
        <v>254</v>
      </c>
      <c r="C19" s="38" t="s">
        <v>88</v>
      </c>
      <c r="D19" s="39">
        <v>2400</v>
      </c>
      <c r="E19" s="37" t="s">
        <v>227</v>
      </c>
    </row>
    <row r="20" spans="1:5" x14ac:dyDescent="0.45">
      <c r="A20" s="37" t="s">
        <v>215</v>
      </c>
      <c r="B20" s="37" t="s">
        <v>275</v>
      </c>
      <c r="C20" s="38" t="s">
        <v>175</v>
      </c>
      <c r="D20" s="39">
        <v>1200</v>
      </c>
      <c r="E20" s="37" t="s">
        <v>227</v>
      </c>
    </row>
    <row r="21" spans="1:5" x14ac:dyDescent="0.45">
      <c r="A21" s="37" t="s">
        <v>276</v>
      </c>
      <c r="B21" s="37" t="s">
        <v>277</v>
      </c>
      <c r="C21" s="38" t="s">
        <v>89</v>
      </c>
      <c r="D21" s="39">
        <v>1000</v>
      </c>
      <c r="E21" s="37" t="s">
        <v>228</v>
      </c>
    </row>
    <row r="22" spans="1:5" x14ac:dyDescent="0.45">
      <c r="A22" s="37" t="s">
        <v>276</v>
      </c>
      <c r="B22" s="37" t="s">
        <v>278</v>
      </c>
      <c r="C22" s="38" t="s">
        <v>84</v>
      </c>
      <c r="D22" s="39">
        <v>800</v>
      </c>
      <c r="E22" s="37" t="s">
        <v>226</v>
      </c>
    </row>
    <row r="23" spans="1:5" x14ac:dyDescent="0.45">
      <c r="A23" s="37" t="s">
        <v>276</v>
      </c>
      <c r="B23" s="37" t="s">
        <v>279</v>
      </c>
      <c r="C23" s="38" t="s">
        <v>87</v>
      </c>
      <c r="D23" s="39">
        <v>1000</v>
      </c>
      <c r="E23" s="37" t="s">
        <v>228</v>
      </c>
    </row>
    <row r="24" spans="1:5" x14ac:dyDescent="0.45">
      <c r="A24" s="37" t="s">
        <v>276</v>
      </c>
      <c r="B24" s="37" t="s">
        <v>280</v>
      </c>
      <c r="C24" s="38" t="s">
        <v>164</v>
      </c>
      <c r="D24" s="39">
        <v>3000</v>
      </c>
      <c r="E24" s="37" t="s">
        <v>228</v>
      </c>
    </row>
    <row r="25" spans="1:5" x14ac:dyDescent="0.45">
      <c r="A25" s="37" t="s">
        <v>281</v>
      </c>
      <c r="B25" s="37" t="s">
        <v>282</v>
      </c>
      <c r="C25" s="38" t="s">
        <v>85</v>
      </c>
      <c r="D25" s="39">
        <v>1600</v>
      </c>
      <c r="E25" s="37" t="s">
        <v>227</v>
      </c>
    </row>
    <row r="26" spans="1:5" x14ac:dyDescent="0.45">
      <c r="A26" s="37" t="s">
        <v>281</v>
      </c>
      <c r="B26" s="37" t="s">
        <v>283</v>
      </c>
      <c r="C26" s="38" t="s">
        <v>176</v>
      </c>
      <c r="D26" s="39">
        <v>1600</v>
      </c>
      <c r="E26" s="37" t="s">
        <v>228</v>
      </c>
    </row>
    <row r="27" spans="1:5" x14ac:dyDescent="0.45">
      <c r="A27" s="37" t="s">
        <v>281</v>
      </c>
      <c r="B27" s="37" t="s">
        <v>284</v>
      </c>
      <c r="C27" s="38" t="s">
        <v>154</v>
      </c>
      <c r="D27" s="39">
        <v>900</v>
      </c>
      <c r="E27" s="37" t="s">
        <v>228</v>
      </c>
    </row>
    <row r="28" spans="1:5" x14ac:dyDescent="0.45">
      <c r="A28" s="37" t="s">
        <v>285</v>
      </c>
      <c r="B28" s="37" t="s">
        <v>286</v>
      </c>
      <c r="C28" s="38" t="s">
        <v>150</v>
      </c>
      <c r="D28" s="39">
        <v>2600</v>
      </c>
      <c r="E28" s="37" t="s">
        <v>228</v>
      </c>
    </row>
    <row r="29" spans="1:5" x14ac:dyDescent="0.45">
      <c r="A29" s="37" t="s">
        <v>287</v>
      </c>
      <c r="B29" s="37" t="s">
        <v>288</v>
      </c>
      <c r="C29" s="38" t="s">
        <v>184</v>
      </c>
      <c r="D29" s="39">
        <v>1000</v>
      </c>
      <c r="E29" s="37" t="s">
        <v>227</v>
      </c>
    </row>
    <row r="30" spans="1:5" x14ac:dyDescent="0.45">
      <c r="A30" s="37" t="s">
        <v>287</v>
      </c>
      <c r="B30" s="37" t="s">
        <v>289</v>
      </c>
      <c r="C30" s="38" t="s">
        <v>154</v>
      </c>
      <c r="D30" s="39">
        <v>2400</v>
      </c>
      <c r="E30" s="37" t="s">
        <v>228</v>
      </c>
    </row>
    <row r="31" spans="1:5" x14ac:dyDescent="0.45">
      <c r="A31" s="37" t="s">
        <v>287</v>
      </c>
      <c r="B31" s="37" t="s">
        <v>290</v>
      </c>
      <c r="C31" s="38" t="s">
        <v>185</v>
      </c>
      <c r="D31" s="39">
        <v>2200</v>
      </c>
      <c r="E31" s="37" t="s">
        <v>227</v>
      </c>
    </row>
    <row r="32" spans="1:5" x14ac:dyDescent="0.45">
      <c r="A32" s="37" t="s">
        <v>291</v>
      </c>
      <c r="B32" s="37" t="s">
        <v>292</v>
      </c>
      <c r="C32" s="38" t="s">
        <v>150</v>
      </c>
      <c r="D32" s="39">
        <v>800</v>
      </c>
      <c r="E32" s="37" t="s">
        <v>228</v>
      </c>
    </row>
    <row r="33" spans="1:5" x14ac:dyDescent="0.45">
      <c r="A33" s="37" t="s">
        <v>291</v>
      </c>
      <c r="B33" s="37" t="s">
        <v>293</v>
      </c>
      <c r="C33" s="38" t="s">
        <v>83</v>
      </c>
      <c r="D33" s="39">
        <v>600</v>
      </c>
      <c r="E33" s="37" t="s">
        <v>228</v>
      </c>
    </row>
    <row r="34" spans="1:5" x14ac:dyDescent="0.45">
      <c r="A34" s="37" t="s">
        <v>291</v>
      </c>
      <c r="B34" s="37" t="s">
        <v>294</v>
      </c>
      <c r="C34" s="38" t="s">
        <v>146</v>
      </c>
      <c r="D34" s="39">
        <v>200</v>
      </c>
      <c r="E34" s="37" t="s">
        <v>228</v>
      </c>
    </row>
    <row r="35" spans="1:5" x14ac:dyDescent="0.45">
      <c r="A35" s="37" t="s">
        <v>291</v>
      </c>
      <c r="B35" s="37" t="s">
        <v>295</v>
      </c>
      <c r="C35" s="38" t="s">
        <v>164</v>
      </c>
      <c r="D35" s="39">
        <v>2600</v>
      </c>
      <c r="E35" s="37" t="s">
        <v>228</v>
      </c>
    </row>
    <row r="36" spans="1:5" x14ac:dyDescent="0.45">
      <c r="A36" s="37" t="s">
        <v>296</v>
      </c>
      <c r="B36" s="37" t="s">
        <v>297</v>
      </c>
      <c r="C36" s="38" t="s">
        <v>160</v>
      </c>
      <c r="D36" s="39">
        <v>1200</v>
      </c>
      <c r="E36" s="37" t="s">
        <v>228</v>
      </c>
    </row>
    <row r="37" spans="1:5" x14ac:dyDescent="0.45">
      <c r="A37" s="37" t="s">
        <v>296</v>
      </c>
      <c r="B37" s="37" t="s">
        <v>298</v>
      </c>
      <c r="C37" s="38" t="s">
        <v>89</v>
      </c>
      <c r="D37" s="39">
        <v>2000</v>
      </c>
      <c r="E37" s="37" t="s">
        <v>226</v>
      </c>
    </row>
    <row r="38" spans="1:5" x14ac:dyDescent="0.45">
      <c r="A38" s="37" t="s">
        <v>296</v>
      </c>
      <c r="B38" s="37" t="s">
        <v>299</v>
      </c>
      <c r="C38" s="38" t="s">
        <v>176</v>
      </c>
      <c r="D38" s="39">
        <v>400</v>
      </c>
      <c r="E38" s="37" t="s">
        <v>228</v>
      </c>
    </row>
    <row r="39" spans="1:5" x14ac:dyDescent="0.45">
      <c r="A39" s="37" t="s">
        <v>296</v>
      </c>
      <c r="B39" s="37" t="s">
        <v>300</v>
      </c>
      <c r="C39" s="38" t="s">
        <v>88</v>
      </c>
      <c r="D39" s="39">
        <v>1000</v>
      </c>
      <c r="E39" s="37" t="s">
        <v>227</v>
      </c>
    </row>
    <row r="40" spans="1:5" x14ac:dyDescent="0.45">
      <c r="A40" s="37" t="s">
        <v>296</v>
      </c>
      <c r="B40" s="37" t="s">
        <v>301</v>
      </c>
      <c r="C40" s="38" t="s">
        <v>90</v>
      </c>
      <c r="D40" s="39">
        <v>800</v>
      </c>
      <c r="E40" s="37" t="s">
        <v>227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="95" zoomScaleNormal="70" workbookViewId="0">
      <pane ySplit="2" topLeftCell="A3" activePane="bottomLeft" state="frozen"/>
      <selection pane="bottomLeft" activeCell="A19" sqref="A19:E34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199</v>
      </c>
    </row>
    <row r="2" spans="1:5" s="33" customFormat="1" x14ac:dyDescent="0.4">
      <c r="A2" s="36" t="s">
        <v>207</v>
      </c>
      <c r="B2" s="36" t="s">
        <v>200</v>
      </c>
      <c r="C2" s="36" t="s">
        <v>222</v>
      </c>
      <c r="D2" s="36" t="s">
        <v>223</v>
      </c>
      <c r="E2" s="36" t="s">
        <v>224</v>
      </c>
    </row>
    <row r="3" spans="1:5" x14ac:dyDescent="0.35">
      <c r="A3" s="37" t="s">
        <v>216</v>
      </c>
      <c r="B3" s="37" t="s">
        <v>225</v>
      </c>
      <c r="C3" s="38" t="s">
        <v>188</v>
      </c>
      <c r="D3" s="39">
        <v>3000</v>
      </c>
      <c r="E3" s="37" t="s">
        <v>226</v>
      </c>
    </row>
    <row r="4" spans="1:5" x14ac:dyDescent="0.35">
      <c r="A4" s="37" t="s">
        <v>216</v>
      </c>
      <c r="B4" s="37" t="s">
        <v>225</v>
      </c>
      <c r="C4" s="38" t="s">
        <v>178</v>
      </c>
      <c r="D4" s="39">
        <v>2600</v>
      </c>
      <c r="E4" s="37" t="s">
        <v>227</v>
      </c>
    </row>
    <row r="5" spans="1:5" x14ac:dyDescent="0.35">
      <c r="A5" s="37" t="s">
        <v>216</v>
      </c>
      <c r="B5" s="37" t="s">
        <v>271</v>
      </c>
      <c r="C5" s="38" t="s">
        <v>193</v>
      </c>
      <c r="D5" s="39">
        <v>3200</v>
      </c>
      <c r="E5" s="37" t="s">
        <v>227</v>
      </c>
    </row>
    <row r="6" spans="1:5" x14ac:dyDescent="0.35">
      <c r="A6" s="37" t="s">
        <v>216</v>
      </c>
      <c r="B6" s="37" t="s">
        <v>272</v>
      </c>
      <c r="C6" s="38" t="s">
        <v>158</v>
      </c>
      <c r="D6" s="39">
        <v>3000</v>
      </c>
      <c r="E6" s="37" t="s">
        <v>228</v>
      </c>
    </row>
    <row r="7" spans="1:5" x14ac:dyDescent="0.35">
      <c r="A7" s="37" t="s">
        <v>210</v>
      </c>
      <c r="B7" s="37" t="s">
        <v>229</v>
      </c>
      <c r="C7" s="38" t="s">
        <v>188</v>
      </c>
      <c r="D7" s="39">
        <v>1200</v>
      </c>
      <c r="E7" s="37" t="s">
        <v>226</v>
      </c>
    </row>
    <row r="8" spans="1:5" x14ac:dyDescent="0.35">
      <c r="A8" s="37" t="s">
        <v>210</v>
      </c>
      <c r="B8" s="37" t="s">
        <v>230</v>
      </c>
      <c r="C8" s="38" t="s">
        <v>188</v>
      </c>
      <c r="D8" s="39">
        <v>3000</v>
      </c>
      <c r="E8" s="37" t="s">
        <v>228</v>
      </c>
    </row>
    <row r="9" spans="1:5" x14ac:dyDescent="0.35">
      <c r="A9" s="37" t="s">
        <v>211</v>
      </c>
      <c r="B9" s="37" t="s">
        <v>231</v>
      </c>
      <c r="C9" s="38" t="s">
        <v>188</v>
      </c>
      <c r="D9" s="39">
        <v>3000</v>
      </c>
      <c r="E9" s="37" t="s">
        <v>226</v>
      </c>
    </row>
    <row r="10" spans="1:5" x14ac:dyDescent="0.35">
      <c r="A10" s="37" t="s">
        <v>211</v>
      </c>
      <c r="B10" s="37" t="s">
        <v>232</v>
      </c>
      <c r="C10" s="38" t="s">
        <v>178</v>
      </c>
      <c r="D10" s="39">
        <v>2400</v>
      </c>
      <c r="E10" s="37" t="s">
        <v>227</v>
      </c>
    </row>
    <row r="11" spans="1:5" x14ac:dyDescent="0.35">
      <c r="A11" s="37" t="s">
        <v>212</v>
      </c>
      <c r="B11" s="37" t="s">
        <v>233</v>
      </c>
      <c r="C11" s="38" t="s">
        <v>166</v>
      </c>
      <c r="D11" s="39">
        <v>2600</v>
      </c>
      <c r="E11" s="37" t="s">
        <v>228</v>
      </c>
    </row>
    <row r="12" spans="1:5" x14ac:dyDescent="0.35">
      <c r="A12" s="37" t="s">
        <v>212</v>
      </c>
      <c r="B12" s="37" t="s">
        <v>234</v>
      </c>
      <c r="C12" s="38" t="s">
        <v>178</v>
      </c>
      <c r="D12" s="39">
        <v>1000</v>
      </c>
      <c r="E12" s="37" t="s">
        <v>227</v>
      </c>
    </row>
    <row r="13" spans="1:5" x14ac:dyDescent="0.35">
      <c r="A13" s="37" t="s">
        <v>212</v>
      </c>
      <c r="B13" s="37" t="s">
        <v>235</v>
      </c>
      <c r="C13" s="38" t="s">
        <v>178</v>
      </c>
      <c r="D13" s="39">
        <v>3000</v>
      </c>
      <c r="E13" s="37" t="s">
        <v>227</v>
      </c>
    </row>
    <row r="14" spans="1:5" x14ac:dyDescent="0.35">
      <c r="A14" s="37" t="s">
        <v>212</v>
      </c>
      <c r="B14" s="37" t="s">
        <v>236</v>
      </c>
      <c r="C14" s="38" t="s">
        <v>166</v>
      </c>
      <c r="D14" s="39">
        <v>2800</v>
      </c>
      <c r="E14" s="37" t="s">
        <v>228</v>
      </c>
    </row>
    <row r="15" spans="1:5" x14ac:dyDescent="0.35">
      <c r="A15" s="37" t="s">
        <v>213</v>
      </c>
      <c r="B15" s="37" t="s">
        <v>237</v>
      </c>
      <c r="C15" s="38" t="s">
        <v>178</v>
      </c>
      <c r="D15" s="39">
        <v>1600</v>
      </c>
      <c r="E15" s="37" t="s">
        <v>227</v>
      </c>
    </row>
    <row r="16" spans="1:5" x14ac:dyDescent="0.35">
      <c r="A16" s="37" t="s">
        <v>214</v>
      </c>
      <c r="B16" s="37" t="s">
        <v>238</v>
      </c>
      <c r="C16" s="38" t="s">
        <v>188</v>
      </c>
      <c r="D16" s="39">
        <v>1400</v>
      </c>
      <c r="E16" s="37" t="s">
        <v>226</v>
      </c>
    </row>
    <row r="17" spans="1:5" x14ac:dyDescent="0.35">
      <c r="A17" s="37" t="s">
        <v>214</v>
      </c>
      <c r="B17" s="37" t="s">
        <v>239</v>
      </c>
      <c r="C17" s="38" t="s">
        <v>188</v>
      </c>
      <c r="D17" s="39">
        <v>3600</v>
      </c>
      <c r="E17" s="37" t="s">
        <v>226</v>
      </c>
    </row>
    <row r="18" spans="1:5" x14ac:dyDescent="0.35">
      <c r="A18" s="37" t="s">
        <v>214</v>
      </c>
      <c r="B18" s="37" t="s">
        <v>240</v>
      </c>
      <c r="C18" s="38" t="s">
        <v>158</v>
      </c>
      <c r="D18" s="39">
        <v>3000</v>
      </c>
      <c r="E18" s="37" t="s">
        <v>228</v>
      </c>
    </row>
    <row r="19" spans="1:5" x14ac:dyDescent="0.35">
      <c r="A19" s="37" t="s">
        <v>215</v>
      </c>
      <c r="B19" s="37" t="s">
        <v>241</v>
      </c>
      <c r="C19" s="38" t="s">
        <v>158</v>
      </c>
      <c r="D19" s="39">
        <v>1600</v>
      </c>
      <c r="E19" s="37" t="s">
        <v>228</v>
      </c>
    </row>
    <row r="20" spans="1:5" x14ac:dyDescent="0.35">
      <c r="A20" s="37" t="s">
        <v>215</v>
      </c>
      <c r="B20" s="37" t="s">
        <v>302</v>
      </c>
      <c r="C20" s="38" t="s">
        <v>188</v>
      </c>
      <c r="D20" s="39">
        <v>5000</v>
      </c>
      <c r="E20" s="37" t="s">
        <v>228</v>
      </c>
    </row>
    <row r="21" spans="1:5" x14ac:dyDescent="0.35">
      <c r="A21" s="37" t="s">
        <v>215</v>
      </c>
      <c r="B21" s="37" t="s">
        <v>303</v>
      </c>
      <c r="C21" s="38" t="s">
        <v>178</v>
      </c>
      <c r="D21" s="39">
        <v>2000</v>
      </c>
      <c r="E21" s="37" t="s">
        <v>227</v>
      </c>
    </row>
    <row r="22" spans="1:5" x14ac:dyDescent="0.35">
      <c r="A22" s="37" t="s">
        <v>276</v>
      </c>
      <c r="B22" s="37" t="s">
        <v>304</v>
      </c>
      <c r="C22" s="38" t="s">
        <v>178</v>
      </c>
      <c r="D22" s="39">
        <v>3400</v>
      </c>
      <c r="E22" s="37" t="s">
        <v>227</v>
      </c>
    </row>
    <row r="23" spans="1:5" x14ac:dyDescent="0.35">
      <c r="A23" s="37" t="s">
        <v>276</v>
      </c>
      <c r="B23" s="37" t="s">
        <v>305</v>
      </c>
      <c r="C23" s="38" t="s">
        <v>188</v>
      </c>
      <c r="D23" s="39">
        <v>3400</v>
      </c>
      <c r="E23" s="37" t="s">
        <v>226</v>
      </c>
    </row>
    <row r="24" spans="1:5" x14ac:dyDescent="0.35">
      <c r="A24" s="37" t="s">
        <v>281</v>
      </c>
      <c r="B24" s="37" t="s">
        <v>306</v>
      </c>
      <c r="C24" s="38" t="s">
        <v>178</v>
      </c>
      <c r="D24" s="39">
        <v>1600</v>
      </c>
      <c r="E24" s="37" t="s">
        <v>227</v>
      </c>
    </row>
    <row r="25" spans="1:5" x14ac:dyDescent="0.35">
      <c r="A25" s="37" t="s">
        <v>281</v>
      </c>
      <c r="B25" s="37" t="s">
        <v>307</v>
      </c>
      <c r="C25" s="38" t="s">
        <v>158</v>
      </c>
      <c r="D25" s="39">
        <v>3000</v>
      </c>
      <c r="E25" s="37" t="s">
        <v>228</v>
      </c>
    </row>
    <row r="26" spans="1:5" x14ac:dyDescent="0.35">
      <c r="A26" s="37" t="s">
        <v>281</v>
      </c>
      <c r="B26" s="37" t="s">
        <v>308</v>
      </c>
      <c r="C26" s="38" t="s">
        <v>178</v>
      </c>
      <c r="D26" s="39">
        <v>2000</v>
      </c>
      <c r="E26" s="37" t="s">
        <v>227</v>
      </c>
    </row>
    <row r="27" spans="1:5" x14ac:dyDescent="0.35">
      <c r="A27" s="37" t="s">
        <v>285</v>
      </c>
      <c r="B27" s="37" t="s">
        <v>309</v>
      </c>
      <c r="C27" s="38" t="s">
        <v>178</v>
      </c>
      <c r="D27" s="39">
        <v>800</v>
      </c>
      <c r="E27" s="37" t="s">
        <v>227</v>
      </c>
    </row>
    <row r="28" spans="1:5" x14ac:dyDescent="0.35">
      <c r="A28" s="37" t="s">
        <v>285</v>
      </c>
      <c r="B28" s="37" t="s">
        <v>310</v>
      </c>
      <c r="C28" s="38" t="s">
        <v>193</v>
      </c>
      <c r="D28" s="39">
        <v>2800</v>
      </c>
      <c r="E28" s="37" t="s">
        <v>227</v>
      </c>
    </row>
    <row r="29" spans="1:5" x14ac:dyDescent="0.35">
      <c r="A29" s="37" t="s">
        <v>285</v>
      </c>
      <c r="B29" s="37" t="s">
        <v>311</v>
      </c>
      <c r="C29" s="38" t="s">
        <v>188</v>
      </c>
      <c r="D29" s="39">
        <v>3000</v>
      </c>
      <c r="E29" s="37" t="s">
        <v>226</v>
      </c>
    </row>
    <row r="30" spans="1:5" x14ac:dyDescent="0.35">
      <c r="A30" s="37" t="s">
        <v>285</v>
      </c>
      <c r="B30" s="37" t="s">
        <v>312</v>
      </c>
      <c r="C30" s="38" t="s">
        <v>188</v>
      </c>
      <c r="D30" s="39">
        <v>3000</v>
      </c>
      <c r="E30" s="37" t="s">
        <v>228</v>
      </c>
    </row>
    <row r="31" spans="1:5" x14ac:dyDescent="0.35">
      <c r="A31" s="37" t="s">
        <v>291</v>
      </c>
      <c r="B31" s="37" t="s">
        <v>313</v>
      </c>
      <c r="C31" s="38" t="s">
        <v>178</v>
      </c>
      <c r="D31" s="39">
        <v>3400</v>
      </c>
      <c r="E31" s="37" t="s">
        <v>227</v>
      </c>
    </row>
    <row r="32" spans="1:5" x14ac:dyDescent="0.35">
      <c r="A32" s="37" t="s">
        <v>296</v>
      </c>
      <c r="B32" s="37" t="s">
        <v>314</v>
      </c>
      <c r="C32" s="38" t="s">
        <v>193</v>
      </c>
      <c r="D32" s="39">
        <v>200</v>
      </c>
      <c r="E32" s="37" t="s">
        <v>227</v>
      </c>
    </row>
    <row r="33" spans="1:5" x14ac:dyDescent="0.35">
      <c r="A33" s="37" t="s">
        <v>296</v>
      </c>
      <c r="B33" s="37" t="s">
        <v>315</v>
      </c>
      <c r="C33" s="38" t="s">
        <v>188</v>
      </c>
      <c r="D33" s="39">
        <v>4000</v>
      </c>
      <c r="E33" s="37" t="s">
        <v>228</v>
      </c>
    </row>
    <row r="34" spans="1:5" x14ac:dyDescent="0.35">
      <c r="A34" s="37" t="s">
        <v>296</v>
      </c>
      <c r="B34" s="37" t="s">
        <v>316</v>
      </c>
      <c r="C34" s="38" t="s">
        <v>178</v>
      </c>
      <c r="D34" s="39">
        <v>4000</v>
      </c>
      <c r="E34" s="37" t="s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abSelected="1" workbookViewId="0">
      <selection activeCell="B2" sqref="B2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323</v>
      </c>
      <c r="B1" s="32" t="s">
        <v>325</v>
      </c>
      <c r="C1" s="32" t="s">
        <v>144</v>
      </c>
      <c r="D1" s="32" t="s">
        <v>8</v>
      </c>
      <c r="E1" s="32" t="s">
        <v>16</v>
      </c>
      <c r="F1" s="32" t="s">
        <v>17</v>
      </c>
      <c r="H1" s="34" t="s">
        <v>202</v>
      </c>
      <c r="I1" s="30"/>
    </row>
    <row r="2" spans="1:9" x14ac:dyDescent="0.45">
      <c r="A2" s="21" t="s">
        <v>83</v>
      </c>
      <c r="B2" s="21">
        <v>200</v>
      </c>
      <c r="C2" s="21">
        <v>4</v>
      </c>
      <c r="D2" s="31" t="s">
        <v>205</v>
      </c>
      <c r="H2" s="25"/>
    </row>
    <row r="3" spans="1:9" x14ac:dyDescent="0.45">
      <c r="A3" s="21" t="s">
        <v>85</v>
      </c>
      <c r="B3" s="21">
        <v>200</v>
      </c>
      <c r="C3" s="21">
        <v>4</v>
      </c>
      <c r="E3" s="31" t="s">
        <v>205</v>
      </c>
    </row>
    <row r="4" spans="1:9" x14ac:dyDescent="0.45">
      <c r="A4" s="21" t="s">
        <v>88</v>
      </c>
      <c r="B4" s="21">
        <v>200</v>
      </c>
      <c r="C4" s="21">
        <v>4</v>
      </c>
      <c r="F4" s="31" t="s">
        <v>205</v>
      </c>
    </row>
    <row r="5" spans="1:9" x14ac:dyDescent="0.45">
      <c r="A5" s="21" t="s">
        <v>87</v>
      </c>
      <c r="B5" s="21">
        <v>200</v>
      </c>
      <c r="C5" s="21">
        <v>4</v>
      </c>
      <c r="F5" s="31" t="s">
        <v>205</v>
      </c>
    </row>
    <row r="6" spans="1:9" x14ac:dyDescent="0.45">
      <c r="A6" s="21" t="s">
        <v>90</v>
      </c>
      <c r="B6" s="21">
        <v>200</v>
      </c>
      <c r="C6" s="21">
        <v>4</v>
      </c>
      <c r="F6" s="31" t="s">
        <v>205</v>
      </c>
    </row>
    <row r="7" spans="1:9" x14ac:dyDescent="0.45">
      <c r="A7" s="21" t="s">
        <v>89</v>
      </c>
      <c r="B7" s="21">
        <v>200</v>
      </c>
      <c r="C7" s="21">
        <v>4</v>
      </c>
      <c r="D7" s="31" t="s">
        <v>205</v>
      </c>
    </row>
    <row r="8" spans="1:9" x14ac:dyDescent="0.45">
      <c r="A8" s="21" t="s">
        <v>145</v>
      </c>
      <c r="B8" s="21">
        <v>200</v>
      </c>
      <c r="C8" s="21">
        <v>4</v>
      </c>
      <c r="D8" s="31" t="s">
        <v>205</v>
      </c>
      <c r="E8" s="31" t="s">
        <v>205</v>
      </c>
    </row>
    <row r="9" spans="1:9" x14ac:dyDescent="0.45">
      <c r="A9" s="21" t="s">
        <v>146</v>
      </c>
      <c r="B9" s="21">
        <v>200</v>
      </c>
      <c r="C9" s="21">
        <v>4</v>
      </c>
      <c r="D9" s="31" t="s">
        <v>205</v>
      </c>
      <c r="E9" s="31" t="s">
        <v>205</v>
      </c>
    </row>
    <row r="10" spans="1:9" x14ac:dyDescent="0.45">
      <c r="A10" s="21" t="s">
        <v>147</v>
      </c>
      <c r="B10" s="21">
        <v>200</v>
      </c>
      <c r="C10" s="21">
        <v>4</v>
      </c>
      <c r="D10" s="31" t="s">
        <v>205</v>
      </c>
    </row>
    <row r="11" spans="1:9" x14ac:dyDescent="0.45">
      <c r="A11" s="21" t="s">
        <v>148</v>
      </c>
      <c r="B11" s="21">
        <v>200</v>
      </c>
      <c r="C11" s="21">
        <v>4</v>
      </c>
      <c r="D11" s="31" t="s">
        <v>205</v>
      </c>
      <c r="E11" s="31" t="s">
        <v>205</v>
      </c>
    </row>
    <row r="12" spans="1:9" x14ac:dyDescent="0.45">
      <c r="A12" s="21" t="s">
        <v>149</v>
      </c>
      <c r="B12" s="21">
        <v>200</v>
      </c>
      <c r="C12" s="21">
        <v>4</v>
      </c>
      <c r="D12" s="31" t="s">
        <v>205</v>
      </c>
    </row>
    <row r="13" spans="1:9" x14ac:dyDescent="0.45">
      <c r="A13" s="21" t="s">
        <v>150</v>
      </c>
      <c r="B13" s="21">
        <v>200</v>
      </c>
      <c r="C13" s="21">
        <v>4</v>
      </c>
      <c r="D13" s="31" t="s">
        <v>205</v>
      </c>
      <c r="E13" s="31" t="s">
        <v>205</v>
      </c>
    </row>
    <row r="14" spans="1:9" x14ac:dyDescent="0.45">
      <c r="A14" s="21" t="s">
        <v>151</v>
      </c>
      <c r="B14" s="21">
        <v>200</v>
      </c>
      <c r="C14" s="21">
        <v>4</v>
      </c>
      <c r="D14" s="31" t="s">
        <v>205</v>
      </c>
    </row>
    <row r="15" spans="1:9" x14ac:dyDescent="0.45">
      <c r="A15" s="21" t="s">
        <v>152</v>
      </c>
      <c r="B15" s="21">
        <v>200</v>
      </c>
      <c r="C15" s="21">
        <v>4</v>
      </c>
      <c r="D15" s="31" t="s">
        <v>205</v>
      </c>
    </row>
    <row r="16" spans="1:9" x14ac:dyDescent="0.45">
      <c r="A16" s="21" t="s">
        <v>153</v>
      </c>
      <c r="B16" s="21">
        <v>200</v>
      </c>
      <c r="C16" s="21">
        <v>4</v>
      </c>
      <c r="D16" s="31" t="s">
        <v>205</v>
      </c>
    </row>
    <row r="17" spans="1:6" x14ac:dyDescent="0.45">
      <c r="A17" s="21" t="s">
        <v>154</v>
      </c>
      <c r="B17" s="21">
        <v>200</v>
      </c>
      <c r="C17" s="21">
        <v>4</v>
      </c>
      <c r="D17" s="31" t="s">
        <v>205</v>
      </c>
    </row>
    <row r="18" spans="1:6" x14ac:dyDescent="0.45">
      <c r="A18" s="21" t="s">
        <v>155</v>
      </c>
      <c r="B18" s="21">
        <v>200</v>
      </c>
      <c r="C18" s="21">
        <v>4</v>
      </c>
      <c r="D18" s="31" t="s">
        <v>205</v>
      </c>
    </row>
    <row r="19" spans="1:6" x14ac:dyDescent="0.45">
      <c r="A19" s="21" t="s">
        <v>84</v>
      </c>
      <c r="B19" s="21">
        <v>200</v>
      </c>
      <c r="C19" s="21">
        <v>4</v>
      </c>
      <c r="D19" s="31" t="s">
        <v>205</v>
      </c>
      <c r="E19" s="31" t="s">
        <v>205</v>
      </c>
      <c r="F19" s="31" t="s">
        <v>205</v>
      </c>
    </row>
    <row r="20" spans="1:6" x14ac:dyDescent="0.45">
      <c r="A20" s="21" t="s">
        <v>156</v>
      </c>
      <c r="B20" s="21">
        <v>200</v>
      </c>
      <c r="C20" s="21">
        <v>4</v>
      </c>
      <c r="D20" s="31" t="s">
        <v>205</v>
      </c>
    </row>
    <row r="21" spans="1:6" x14ac:dyDescent="0.45">
      <c r="A21" s="21" t="s">
        <v>157</v>
      </c>
      <c r="B21" s="21">
        <v>200</v>
      </c>
      <c r="C21" s="21">
        <v>4</v>
      </c>
      <c r="D21" s="31" t="s">
        <v>205</v>
      </c>
    </row>
    <row r="22" spans="1:6" x14ac:dyDescent="0.45">
      <c r="A22" s="21" t="s">
        <v>158</v>
      </c>
      <c r="B22" s="21">
        <v>200</v>
      </c>
      <c r="C22" s="21">
        <v>4</v>
      </c>
      <c r="D22" s="31" t="s">
        <v>205</v>
      </c>
      <c r="E22" s="31" t="s">
        <v>205</v>
      </c>
      <c r="F22" s="31" t="s">
        <v>205</v>
      </c>
    </row>
    <row r="23" spans="1:6" x14ac:dyDescent="0.45">
      <c r="A23" s="21" t="s">
        <v>159</v>
      </c>
      <c r="B23" s="21">
        <v>200</v>
      </c>
      <c r="C23" s="21">
        <v>4</v>
      </c>
      <c r="D23" s="31" t="s">
        <v>205</v>
      </c>
    </row>
    <row r="24" spans="1:6" x14ac:dyDescent="0.45">
      <c r="A24" s="21" t="s">
        <v>160</v>
      </c>
      <c r="B24" s="21">
        <v>200</v>
      </c>
      <c r="C24" s="21">
        <v>4</v>
      </c>
      <c r="D24" s="31" t="s">
        <v>205</v>
      </c>
    </row>
    <row r="25" spans="1:6" x14ac:dyDescent="0.45">
      <c r="A25" s="21" t="s">
        <v>161</v>
      </c>
      <c r="B25" s="21">
        <v>200</v>
      </c>
      <c r="C25" s="21">
        <v>4</v>
      </c>
      <c r="F25" s="31" t="s">
        <v>205</v>
      </c>
    </row>
    <row r="26" spans="1:6" x14ac:dyDescent="0.45">
      <c r="A26" s="21" t="s">
        <v>162</v>
      </c>
      <c r="B26" s="21">
        <v>200</v>
      </c>
      <c r="C26" s="21">
        <v>4</v>
      </c>
      <c r="D26" s="31" t="s">
        <v>205</v>
      </c>
    </row>
    <row r="27" spans="1:6" x14ac:dyDescent="0.45">
      <c r="A27" s="21" t="s">
        <v>163</v>
      </c>
      <c r="B27" s="21">
        <v>200</v>
      </c>
      <c r="C27" s="21">
        <v>4</v>
      </c>
      <c r="F27" s="31" t="s">
        <v>205</v>
      </c>
    </row>
    <row r="28" spans="1:6" x14ac:dyDescent="0.45">
      <c r="A28" s="21" t="s">
        <v>164</v>
      </c>
      <c r="B28" s="21">
        <v>200</v>
      </c>
      <c r="C28" s="21">
        <v>4</v>
      </c>
      <c r="D28" s="31" t="s">
        <v>205</v>
      </c>
    </row>
    <row r="29" spans="1:6" x14ac:dyDescent="0.45">
      <c r="A29" s="21" t="s">
        <v>165</v>
      </c>
      <c r="B29" s="21">
        <v>200</v>
      </c>
      <c r="C29" s="21">
        <v>4</v>
      </c>
      <c r="D29" s="31" t="s">
        <v>205</v>
      </c>
      <c r="F29" s="31" t="s">
        <v>205</v>
      </c>
    </row>
    <row r="30" spans="1:6" x14ac:dyDescent="0.45">
      <c r="A30" s="21" t="s">
        <v>166</v>
      </c>
      <c r="B30" s="21">
        <v>200</v>
      </c>
      <c r="C30" s="21">
        <v>4</v>
      </c>
      <c r="D30" s="31" t="s">
        <v>205</v>
      </c>
    </row>
    <row r="31" spans="1:6" x14ac:dyDescent="0.45">
      <c r="A31" s="21" t="s">
        <v>167</v>
      </c>
      <c r="B31" s="21">
        <v>200</v>
      </c>
      <c r="C31" s="21">
        <v>4</v>
      </c>
      <c r="E31" s="31" t="s">
        <v>205</v>
      </c>
    </row>
    <row r="32" spans="1:6" x14ac:dyDescent="0.45">
      <c r="A32" s="21" t="s">
        <v>168</v>
      </c>
      <c r="B32" s="21">
        <v>200</v>
      </c>
      <c r="C32" s="21">
        <v>4</v>
      </c>
      <c r="D32" s="31" t="s">
        <v>205</v>
      </c>
    </row>
    <row r="33" spans="1:6" x14ac:dyDescent="0.45">
      <c r="A33" s="21" t="s">
        <v>169</v>
      </c>
      <c r="B33" s="21">
        <v>200</v>
      </c>
      <c r="C33" s="21">
        <v>4</v>
      </c>
      <c r="E33" s="31" t="s">
        <v>205</v>
      </c>
      <c r="F33" s="31" t="s">
        <v>205</v>
      </c>
    </row>
    <row r="34" spans="1:6" x14ac:dyDescent="0.45">
      <c r="A34" s="21" t="s">
        <v>170</v>
      </c>
      <c r="B34" s="21">
        <v>200</v>
      </c>
      <c r="C34" s="21">
        <v>4</v>
      </c>
      <c r="E34" s="31" t="s">
        <v>205</v>
      </c>
      <c r="F34" s="31" t="s">
        <v>205</v>
      </c>
    </row>
    <row r="35" spans="1:6" x14ac:dyDescent="0.45">
      <c r="A35" s="21" t="s">
        <v>171</v>
      </c>
      <c r="B35" s="21">
        <v>200</v>
      </c>
      <c r="C35" s="21">
        <v>4</v>
      </c>
      <c r="D35" s="31" t="s">
        <v>205</v>
      </c>
      <c r="E35" s="31" t="s">
        <v>205</v>
      </c>
      <c r="F35" s="31" t="s">
        <v>205</v>
      </c>
    </row>
    <row r="36" spans="1:6" x14ac:dyDescent="0.45">
      <c r="A36" s="21" t="s">
        <v>172</v>
      </c>
      <c r="B36" s="21">
        <v>200</v>
      </c>
      <c r="C36" s="21">
        <v>4</v>
      </c>
      <c r="D36" s="31" t="s">
        <v>205</v>
      </c>
      <c r="E36" s="31" t="s">
        <v>205</v>
      </c>
    </row>
    <row r="37" spans="1:6" x14ac:dyDescent="0.45">
      <c r="A37" s="21" t="s">
        <v>173</v>
      </c>
      <c r="B37" s="21">
        <v>200</v>
      </c>
      <c r="C37" s="21">
        <v>4</v>
      </c>
      <c r="D37" s="31" t="s">
        <v>205</v>
      </c>
      <c r="F37" s="31" t="s">
        <v>205</v>
      </c>
    </row>
    <row r="38" spans="1:6" x14ac:dyDescent="0.45">
      <c r="A38" s="21" t="s">
        <v>174</v>
      </c>
      <c r="B38" s="21">
        <v>200</v>
      </c>
      <c r="C38" s="21">
        <v>4</v>
      </c>
      <c r="E38" s="31" t="s">
        <v>205</v>
      </c>
      <c r="F38" s="31" t="s">
        <v>205</v>
      </c>
    </row>
    <row r="39" spans="1:6" x14ac:dyDescent="0.45">
      <c r="A39" s="21" t="s">
        <v>175</v>
      </c>
      <c r="B39" s="21">
        <v>200</v>
      </c>
      <c r="C39" s="21">
        <v>4</v>
      </c>
      <c r="D39" s="31" t="s">
        <v>205</v>
      </c>
      <c r="E39" s="31" t="s">
        <v>205</v>
      </c>
    </row>
    <row r="40" spans="1:6" x14ac:dyDescent="0.45">
      <c r="A40" s="21" t="s">
        <v>176</v>
      </c>
      <c r="B40" s="21">
        <v>200</v>
      </c>
      <c r="C40" s="21">
        <v>4</v>
      </c>
      <c r="D40" s="31" t="s">
        <v>205</v>
      </c>
      <c r="E40" s="31" t="s">
        <v>205</v>
      </c>
    </row>
    <row r="41" spans="1:6" x14ac:dyDescent="0.45">
      <c r="A41" s="21" t="s">
        <v>177</v>
      </c>
      <c r="B41" s="21">
        <v>200</v>
      </c>
      <c r="C41" s="21">
        <v>4</v>
      </c>
      <c r="D41" s="31" t="s">
        <v>205</v>
      </c>
      <c r="E41" s="31" t="s">
        <v>205</v>
      </c>
    </row>
    <row r="42" spans="1:6" x14ac:dyDescent="0.45">
      <c r="A42" s="21" t="s">
        <v>178</v>
      </c>
      <c r="B42" s="21">
        <v>200</v>
      </c>
      <c r="C42" s="21">
        <v>4</v>
      </c>
      <c r="D42" s="31" t="s">
        <v>205</v>
      </c>
      <c r="E42" s="31" t="s">
        <v>205</v>
      </c>
    </row>
    <row r="43" spans="1:6" x14ac:dyDescent="0.45">
      <c r="A43" s="21" t="s">
        <v>179</v>
      </c>
      <c r="B43" s="21">
        <v>200</v>
      </c>
      <c r="C43" s="21">
        <v>4</v>
      </c>
      <c r="D43" s="31" t="s">
        <v>205</v>
      </c>
      <c r="F43" s="31" t="s">
        <v>205</v>
      </c>
    </row>
    <row r="44" spans="1:6" x14ac:dyDescent="0.45">
      <c r="A44" s="21" t="s">
        <v>180</v>
      </c>
      <c r="B44" s="21">
        <v>200</v>
      </c>
      <c r="C44" s="21">
        <v>4</v>
      </c>
      <c r="E44" s="31" t="s">
        <v>205</v>
      </c>
      <c r="F44" s="31" t="s">
        <v>205</v>
      </c>
    </row>
    <row r="45" spans="1:6" x14ac:dyDescent="0.45">
      <c r="A45" s="21" t="s">
        <v>181</v>
      </c>
      <c r="B45" s="21">
        <v>200</v>
      </c>
      <c r="C45" s="21">
        <v>4</v>
      </c>
      <c r="E45" s="31" t="s">
        <v>205</v>
      </c>
      <c r="F45" s="31" t="s">
        <v>205</v>
      </c>
    </row>
    <row r="46" spans="1:6" x14ac:dyDescent="0.45">
      <c r="A46" s="21" t="s">
        <v>182</v>
      </c>
      <c r="B46" s="21">
        <v>200</v>
      </c>
      <c r="C46" s="21">
        <v>4</v>
      </c>
      <c r="D46" s="31" t="s">
        <v>205</v>
      </c>
      <c r="F46" s="31" t="s">
        <v>205</v>
      </c>
    </row>
    <row r="47" spans="1:6" x14ac:dyDescent="0.45">
      <c r="A47" s="21" t="s">
        <v>183</v>
      </c>
      <c r="B47" s="21">
        <v>200</v>
      </c>
      <c r="C47" s="21">
        <v>4</v>
      </c>
      <c r="E47" s="31" t="s">
        <v>205</v>
      </c>
      <c r="F47" s="31" t="s">
        <v>205</v>
      </c>
    </row>
    <row r="48" spans="1:6" x14ac:dyDescent="0.45">
      <c r="A48" s="21" t="s">
        <v>184</v>
      </c>
      <c r="B48" s="21">
        <v>200</v>
      </c>
      <c r="C48" s="21">
        <v>4</v>
      </c>
      <c r="D48" s="31" t="s">
        <v>205</v>
      </c>
      <c r="F48" s="31" t="s">
        <v>205</v>
      </c>
    </row>
    <row r="49" spans="1:6" x14ac:dyDescent="0.45">
      <c r="A49" s="21" t="s">
        <v>185</v>
      </c>
      <c r="B49" s="21">
        <v>200</v>
      </c>
      <c r="C49" s="21">
        <v>4</v>
      </c>
      <c r="D49" s="31" t="s">
        <v>205</v>
      </c>
      <c r="F49" s="31" t="s">
        <v>205</v>
      </c>
    </row>
    <row r="50" spans="1:6" x14ac:dyDescent="0.45">
      <c r="A50" s="21" t="s">
        <v>186</v>
      </c>
      <c r="B50" s="21">
        <v>200</v>
      </c>
      <c r="C50" s="21">
        <v>4</v>
      </c>
      <c r="D50" s="31" t="s">
        <v>205</v>
      </c>
      <c r="F50" s="31" t="s">
        <v>205</v>
      </c>
    </row>
    <row r="51" spans="1:6" x14ac:dyDescent="0.45">
      <c r="A51" s="21" t="s">
        <v>187</v>
      </c>
      <c r="B51" s="21">
        <v>200</v>
      </c>
      <c r="C51" s="21">
        <v>4</v>
      </c>
      <c r="D51" s="31" t="s">
        <v>205</v>
      </c>
      <c r="E51" s="31" t="s">
        <v>205</v>
      </c>
    </row>
    <row r="52" spans="1:6" x14ac:dyDescent="0.45">
      <c r="A52" s="21" t="s">
        <v>188</v>
      </c>
      <c r="B52" s="21">
        <v>200</v>
      </c>
      <c r="C52" s="21">
        <v>4</v>
      </c>
      <c r="D52" s="31" t="s">
        <v>205</v>
      </c>
      <c r="E52" s="31" t="s">
        <v>205</v>
      </c>
    </row>
    <row r="53" spans="1:6" x14ac:dyDescent="0.45">
      <c r="A53" s="21" t="s">
        <v>189</v>
      </c>
      <c r="B53" s="21">
        <v>200</v>
      </c>
      <c r="C53" s="21">
        <v>4</v>
      </c>
      <c r="E53" s="31" t="s">
        <v>205</v>
      </c>
      <c r="F53" s="31" t="s">
        <v>205</v>
      </c>
    </row>
    <row r="54" spans="1:6" x14ac:dyDescent="0.45">
      <c r="A54" s="21" t="s">
        <v>190</v>
      </c>
      <c r="B54" s="21">
        <v>200</v>
      </c>
      <c r="C54" s="21">
        <v>4</v>
      </c>
      <c r="D54" s="31" t="s">
        <v>205</v>
      </c>
    </row>
    <row r="55" spans="1:6" x14ac:dyDescent="0.45">
      <c r="A55" s="21" t="s">
        <v>191</v>
      </c>
      <c r="B55" s="21">
        <v>200</v>
      </c>
      <c r="C55" s="21">
        <v>4</v>
      </c>
      <c r="D55" s="31" t="s">
        <v>205</v>
      </c>
      <c r="E55" s="31" t="s">
        <v>205</v>
      </c>
    </row>
    <row r="56" spans="1:6" x14ac:dyDescent="0.45">
      <c r="A56" s="21" t="s">
        <v>192</v>
      </c>
      <c r="B56" s="21">
        <v>200</v>
      </c>
      <c r="C56" s="21">
        <v>4</v>
      </c>
      <c r="D56" s="31" t="s">
        <v>205</v>
      </c>
    </row>
    <row r="57" spans="1:6" x14ac:dyDescent="0.45">
      <c r="A57" s="21" t="s">
        <v>193</v>
      </c>
      <c r="B57" s="21">
        <v>200</v>
      </c>
      <c r="C57" s="21">
        <v>4</v>
      </c>
      <c r="E57" s="31" t="s">
        <v>205</v>
      </c>
      <c r="F57" s="31" t="s">
        <v>205</v>
      </c>
    </row>
    <row r="58" spans="1:6" x14ac:dyDescent="0.45">
      <c r="A58" s="21" t="s">
        <v>194</v>
      </c>
      <c r="B58" s="21">
        <v>200</v>
      </c>
      <c r="C58" s="21">
        <v>4</v>
      </c>
      <c r="D58" s="31" t="s">
        <v>205</v>
      </c>
      <c r="E58" s="31" t="s">
        <v>205</v>
      </c>
    </row>
    <row r="59" spans="1:6" x14ac:dyDescent="0.45">
      <c r="A59" s="21" t="s">
        <v>195</v>
      </c>
      <c r="B59" s="21">
        <v>200</v>
      </c>
      <c r="C59" s="21">
        <v>4</v>
      </c>
      <c r="D59" s="31" t="s">
        <v>205</v>
      </c>
      <c r="F59" s="31" t="s">
        <v>205</v>
      </c>
    </row>
    <row r="60" spans="1:6" x14ac:dyDescent="0.45">
      <c r="A60" s="21" t="s">
        <v>91</v>
      </c>
      <c r="B60" s="21">
        <v>200</v>
      </c>
      <c r="C60" s="21">
        <v>4</v>
      </c>
      <c r="E60" s="31" t="s">
        <v>205</v>
      </c>
      <c r="F60" s="31" t="s">
        <v>205</v>
      </c>
    </row>
    <row r="61" spans="1:6" x14ac:dyDescent="0.45">
      <c r="A61" s="21" t="s">
        <v>196</v>
      </c>
      <c r="B61" s="21">
        <v>200</v>
      </c>
      <c r="C61" s="21">
        <v>4</v>
      </c>
      <c r="D61" s="31" t="s">
        <v>205</v>
      </c>
      <c r="E61" s="31" t="s">
        <v>205</v>
      </c>
    </row>
    <row r="62" spans="1:6" x14ac:dyDescent="0.45">
      <c r="A62" s="21" t="s">
        <v>197</v>
      </c>
      <c r="B62" s="21">
        <v>200</v>
      </c>
      <c r="C62" s="21">
        <v>4</v>
      </c>
      <c r="E62" s="31" t="s">
        <v>205</v>
      </c>
      <c r="F62" s="31" t="s">
        <v>205</v>
      </c>
    </row>
    <row r="63" spans="1:6" x14ac:dyDescent="0.45">
      <c r="A63" s="21" t="s">
        <v>198</v>
      </c>
      <c r="B63" s="21">
        <v>200</v>
      </c>
      <c r="C63" s="21">
        <v>4</v>
      </c>
      <c r="D63" s="31" t="s">
        <v>205</v>
      </c>
      <c r="E63" s="31" t="s">
        <v>205</v>
      </c>
    </row>
    <row r="64" spans="1:6" x14ac:dyDescent="0.45">
      <c r="A64" s="21" t="s">
        <v>92</v>
      </c>
      <c r="B64" s="21">
        <v>200</v>
      </c>
      <c r="C64" s="21">
        <v>4</v>
      </c>
      <c r="F64" s="31" t="s">
        <v>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A3" sqref="A3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95</v>
      </c>
      <c r="B1" s="1" t="s">
        <v>96</v>
      </c>
      <c r="C1" s="1" t="s">
        <v>97</v>
      </c>
    </row>
    <row r="2" spans="1:3" x14ac:dyDescent="0.45">
      <c r="A2" s="32" t="s">
        <v>324</v>
      </c>
      <c r="B2" s="31">
        <v>50</v>
      </c>
      <c r="C2" s="31" t="s">
        <v>204</v>
      </c>
    </row>
    <row r="3" spans="1:3" x14ac:dyDescent="0.45">
      <c r="A3" s="32" t="s">
        <v>203</v>
      </c>
      <c r="B3" s="31">
        <v>30</v>
      </c>
      <c r="C3" s="31" t="s">
        <v>204</v>
      </c>
    </row>
    <row r="4" spans="1:3" x14ac:dyDescent="0.45">
      <c r="A4" s="32" t="s">
        <v>208</v>
      </c>
      <c r="B4" s="31">
        <v>25</v>
      </c>
      <c r="C4" s="31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4" t="s">
        <v>111</v>
      </c>
      <c r="B1" s="45"/>
      <c r="C1" s="45"/>
    </row>
    <row r="2" spans="1:3" ht="15" customHeight="1" x14ac:dyDescent="0.45">
      <c r="A2" s="1" t="s">
        <v>112</v>
      </c>
      <c r="B2" s="1" t="s">
        <v>113</v>
      </c>
      <c r="C2" s="1" t="s">
        <v>114</v>
      </c>
    </row>
    <row r="3" spans="1:3" ht="39.75" customHeight="1" x14ac:dyDescent="0.45">
      <c r="A3" s="20" t="s">
        <v>115</v>
      </c>
      <c r="B3" s="13" t="s">
        <v>116</v>
      </c>
      <c r="C3" s="13" t="s">
        <v>117</v>
      </c>
    </row>
    <row r="4" spans="1:3" ht="39.75" customHeight="1" x14ac:dyDescent="0.45">
      <c r="A4" s="17" t="s">
        <v>118</v>
      </c>
      <c r="B4" s="14" t="s">
        <v>119</v>
      </c>
      <c r="C4" s="14" t="s">
        <v>120</v>
      </c>
    </row>
    <row r="5" spans="1:3" ht="39.75" customHeight="1" x14ac:dyDescent="0.45">
      <c r="A5" s="20" t="s">
        <v>121</v>
      </c>
      <c r="B5" s="13" t="s">
        <v>122</v>
      </c>
      <c r="C5" s="13" t="s">
        <v>123</v>
      </c>
    </row>
    <row r="6" spans="1:3" ht="39.75" customHeight="1" x14ac:dyDescent="0.45">
      <c r="A6" s="17" t="s">
        <v>124</v>
      </c>
      <c r="B6" s="14" t="s">
        <v>125</v>
      </c>
      <c r="C6" s="14" t="s">
        <v>126</v>
      </c>
    </row>
    <row r="7" spans="1:3" ht="39.75" customHeight="1" x14ac:dyDescent="0.45">
      <c r="A7" s="20" t="s">
        <v>127</v>
      </c>
      <c r="B7" s="13" t="s">
        <v>128</v>
      </c>
      <c r="C7" s="13" t="s">
        <v>129</v>
      </c>
    </row>
    <row r="8" spans="1:3" ht="39.75" customHeight="1" x14ac:dyDescent="0.45">
      <c r="A8" s="17" t="s">
        <v>130</v>
      </c>
      <c r="B8" s="14" t="s">
        <v>131</v>
      </c>
      <c r="C8" s="14" t="s">
        <v>132</v>
      </c>
    </row>
    <row r="9" spans="1:3" ht="39.75" customHeight="1" x14ac:dyDescent="0.45">
      <c r="A9" s="20" t="s">
        <v>133</v>
      </c>
      <c r="B9" s="13" t="s">
        <v>134</v>
      </c>
      <c r="C9" s="13" t="s">
        <v>135</v>
      </c>
    </row>
    <row r="10" spans="1:3" ht="39.75" customHeight="1" x14ac:dyDescent="0.45">
      <c r="A10" s="17" t="s">
        <v>136</v>
      </c>
      <c r="B10" s="14" t="s">
        <v>137</v>
      </c>
      <c r="C10" s="14"/>
    </row>
    <row r="11" spans="1:3" ht="39.75" customHeight="1" x14ac:dyDescent="0.45"/>
    <row r="13" spans="1:3" ht="15" customHeight="1" x14ac:dyDescent="0.45">
      <c r="A13" s="48" t="s">
        <v>138</v>
      </c>
      <c r="B13" s="47"/>
      <c r="C13" s="47"/>
    </row>
    <row r="14" spans="1:3" ht="15" customHeight="1" x14ac:dyDescent="0.45">
      <c r="A14" s="52" t="s">
        <v>139</v>
      </c>
      <c r="B14" s="47"/>
      <c r="C14" s="53"/>
    </row>
    <row r="15" spans="1:3" ht="15" customHeight="1" x14ac:dyDescent="0.45">
      <c r="A15" s="56" t="s">
        <v>140</v>
      </c>
      <c r="B15" s="47"/>
      <c r="C15" s="53"/>
    </row>
    <row r="16" spans="1:3" ht="15" customHeight="1" x14ac:dyDescent="0.45">
      <c r="A16" s="57" t="s">
        <v>141</v>
      </c>
      <c r="B16" s="47"/>
      <c r="C16" s="53"/>
    </row>
    <row r="17" spans="1:3" ht="15" customHeight="1" x14ac:dyDescent="0.45">
      <c r="A17" s="54" t="s">
        <v>142</v>
      </c>
      <c r="B17" s="47"/>
      <c r="C17" s="53"/>
    </row>
    <row r="18" spans="1:3" ht="15" customHeight="1" x14ac:dyDescent="0.45">
      <c r="A18" s="55" t="s">
        <v>143</v>
      </c>
      <c r="B18" s="47"/>
      <c r="C18" s="53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OEE</vt:lpstr>
      <vt:lpstr>Process</vt:lpstr>
      <vt:lpstr>Shifts</vt:lpstr>
      <vt:lpstr>Buffers</vt:lpstr>
      <vt:lpstr>Inventories</vt:lpstr>
      <vt:lpstr>Inspection</vt:lpstr>
      <vt:lpstr>SetupState</vt:lpstr>
      <vt:lpstr>Packaging</vt:lpstr>
      <vt:lpstr>Supermarkets</vt:lpstr>
      <vt:lpstr>PushCustomerDemand</vt:lpstr>
      <vt:lpstr>PullCustomerDemand</vt:lpstr>
      <vt:lpstr>PullCardsSetup</vt:lpstr>
      <vt:lpstr>PullConfig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2026-09-18T13:45:25Z</dcterms:modified>
  <dc:language>en-US</dc:language>
</cp:coreProperties>
</file>