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lex\Master\2026 SS\Masterarbeit\phase 3\backend\"/>
    </mc:Choice>
  </mc:AlternateContent>
  <xr:revisionPtr revIDLastSave="0" documentId="13_ncr:1_{CFCF7C52-AAC4-4743-8EE5-A43316227421}" xr6:coauthVersionLast="47" xr6:coauthVersionMax="47" xr10:uidLastSave="{00000000-0000-0000-0000-000000000000}"/>
  <bookViews>
    <workbookView xWindow="-98" yWindow="-98" windowWidth="21795" windowHeight="12975" tabRatio="580" firstSheet="1" activeTab="1" xr2:uid="{00000000-000D-0000-FFFF-FFFF00000000}"/>
  </bookViews>
  <sheets>
    <sheet name="Process" sheetId="1" r:id="rId1"/>
    <sheet name="Shifts" sheetId="14" r:id="rId2"/>
    <sheet name="Buffers" sheetId="2" r:id="rId3"/>
    <sheet name="Inventories" sheetId="3" r:id="rId4"/>
    <sheet name="Inspection" sheetId="4" r:id="rId5"/>
    <sheet name="Supermarkets" sheetId="13" r:id="rId6"/>
    <sheet name="SetupState" sheetId="5" r:id="rId7"/>
    <sheet name="Packaging" sheetId="7" r:id="rId8"/>
    <sheet name="CustomerDemand" sheetId="6" r:id="rId9"/>
    <sheet name="CustomerDemandKanban" sheetId="10" r:id="rId10"/>
    <sheet name="KanbanCardsSetup" sheetId="9" r:id="rId11"/>
    <sheet name="KanbanConfig" sheetId="12" r:id="rId12"/>
    <sheet name="SupermInState" sheetId="11" r:id="rId13"/>
    <sheet name="README" sheetId="8" r:id="rId14"/>
  </sheets>
  <definedNames>
    <definedName name="_xlnm._FilterDatabase" localSheetId="8" hidden="1">CustomerDemand!$A$3:$E$8</definedName>
    <definedName name="_xlnm._FilterDatabase" localSheetId="9" hidden="1">CustomerDemandKanban!$A$2:$B$8</definedName>
  </definedNames>
  <calcPr calcId="191029"/>
</workbook>
</file>

<file path=xl/calcChain.xml><?xml version="1.0" encoding="utf-8"?>
<calcChain xmlns="http://schemas.openxmlformats.org/spreadsheetml/2006/main">
  <c r="E5" i="4" l="1"/>
  <c r="E4" i="4"/>
  <c r="E3" i="4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</calcChain>
</file>

<file path=xl/sharedStrings.xml><?xml version="1.0" encoding="utf-8"?>
<sst xmlns="http://schemas.openxmlformats.org/spreadsheetml/2006/main" count="1056" uniqueCount="323">
  <si>
    <t>PROCESS PARAMETERS</t>
  </si>
  <si>
    <t>STATION PARAMETERS  (cycle times, OEE, effective rate)  –  stations can differ per line</t>
  </si>
  <si>
    <t>Station</t>
  </si>
  <si>
    <t>Line</t>
  </si>
  <si>
    <t>Cycle Time (s)</t>
  </si>
  <si>
    <t>OEE (0–1)</t>
  </si>
  <si>
    <t>μ_eff (1/s)</t>
  </si>
  <si>
    <t>Available Time (min/day)</t>
  </si>
  <si>
    <t>Beladen</t>
  </si>
  <si>
    <t>HTL3</t>
  </si>
  <si>
    <t>Stift einpressen</t>
  </si>
  <si>
    <t>Lochfilter</t>
  </si>
  <si>
    <t>DRS</t>
  </si>
  <si>
    <t>Pruefen Filter</t>
  </si>
  <si>
    <t>Supfina</t>
  </si>
  <si>
    <t>Waschen</t>
  </si>
  <si>
    <t>Sichtpruefung</t>
  </si>
  <si>
    <t>HTL5</t>
  </si>
  <si>
    <t>HTL6</t>
  </si>
  <si>
    <t>Legend:   INPUT (yellow) = mandatory user input   |   ASSUMED (orange) = default – review before use   |   READONLY (grey) = calculated</t>
  </si>
  <si>
    <t>BUFFER PARAMETERS  (station &amp; line dependent)</t>
  </si>
  <si>
    <t>Upstream Station</t>
  </si>
  <si>
    <t>Downstream Station</t>
  </si>
  <si>
    <t>Buffer ID</t>
  </si>
  <si>
    <t>Max Capacity (K)</t>
  </si>
  <si>
    <t>Initial Fill</t>
  </si>
  <si>
    <t>Blocking Protocol</t>
  </si>
  <si>
    <t>Notes</t>
  </si>
  <si>
    <t>Stift einpressen, Pruefen, Supfina</t>
  </si>
  <si>
    <t>Buffer 1.1  (Beladen → Stift einpressen, Pruefen, Supfina)</t>
  </si>
  <si>
    <t>BAS</t>
  </si>
  <si>
    <t>BAS = part held after service | BBS = station pauses before service</t>
  </si>
  <si>
    <t>Buffer 1.2.A  (Stift einpressen → Supfina)</t>
  </si>
  <si>
    <t>Buffer 1.2.B  (Pruefen filter → Supfina)</t>
  </si>
  <si>
    <t>Buffer 1.3  (Supfina → Waschen)</t>
  </si>
  <si>
    <t>Buffer 1.4  (Waschen → Sichtpruefung)</t>
  </si>
  <si>
    <t>Stift einpressen, Supfina</t>
  </si>
  <si>
    <t>Buffer 2.1  (Beladen → Stift einpressen, Supfina)</t>
  </si>
  <si>
    <t>Buffer 2.2.A  (Stift einpressen → Supfina)</t>
  </si>
  <si>
    <t>Buffer 2.3  (Supfina → Waschen)</t>
  </si>
  <si>
    <t>Buffer 2.4  (Waschen → Sichtpruefung)</t>
  </si>
  <si>
    <t>Buffer 3.1  (Beladen → Supfina)</t>
  </si>
  <si>
    <t>Buffer 3.2  (Supfina → Waschen)</t>
  </si>
  <si>
    <t>Buffer 3.3  (Waschen → Sichtpruefung)</t>
  </si>
  <si>
    <t>Note:  BAS = Blocking After Service (part stays at station until downstream buffer has space)   |   BBS = Blocking Before Service (station waits before starting next part)</t>
  </si>
  <si>
    <t>Name</t>
  </si>
  <si>
    <t>Type</t>
  </si>
  <si>
    <t>Upstream_Station</t>
  </si>
  <si>
    <t>Downstream_Station</t>
  </si>
  <si>
    <t>Stored_type</t>
  </si>
  <si>
    <t>SupermarketCapacity_pcs</t>
  </si>
  <si>
    <t>SupermarketInitialFill_pcs</t>
  </si>
  <si>
    <t>TriggerAmountLeft</t>
  </si>
  <si>
    <t>PackSize</t>
  </si>
  <si>
    <t>ReplenishAmount</t>
  </si>
  <si>
    <t>Inv_nach_ECM</t>
  </si>
  <si>
    <t>Inventory</t>
  </si>
  <si>
    <t>All lines</t>
  </si>
  <si>
    <t>-</t>
  </si>
  <si>
    <t>Standard material</t>
  </si>
  <si>
    <t>#virtually infinite and no replenishment in the simulation</t>
  </si>
  <si>
    <t>Lochfitler material</t>
  </si>
  <si>
    <t>DRS material</t>
  </si>
  <si>
    <t>Chu_vor_Lochfilter</t>
  </si>
  <si>
    <t>FIFO_Chute</t>
  </si>
  <si>
    <t>Chu_vor_DRS</t>
  </si>
  <si>
    <t>Inv_nach_Loch</t>
  </si>
  <si>
    <t xml:space="preserve">Lochfilter </t>
  </si>
  <si>
    <t>Inv_nach_DRS</t>
  </si>
  <si>
    <t>Chu_vor_HTL3</t>
  </si>
  <si>
    <t>Chu_vor_HTL5</t>
  </si>
  <si>
    <t>Chu_vor_HTL6</t>
  </si>
  <si>
    <t>Inv_nach_HTL</t>
  </si>
  <si>
    <t>Sichtpruefen</t>
  </si>
  <si>
    <t>All End-products</t>
  </si>
  <si>
    <t>Pass Rate</t>
  </si>
  <si>
    <t>Rework Rate</t>
  </si>
  <si>
    <t>Scrap Rate</t>
  </si>
  <si>
    <t>Sum Check</t>
  </si>
  <si>
    <t>Rework CT Multiplier</t>
  </si>
  <si>
    <t>Rework Loop Limit</t>
  </si>
  <si>
    <t>Pass + Rework + Scrap must sum to 1.0   |   Rework CT Multiplier: 1 = same cycle time, 1.5 = 50 % longer   |   Rework Loop Limit: leave blank = unlimited</t>
  </si>
  <si>
    <t>Initial setup</t>
  </si>
  <si>
    <t>Currently Set Up For (Product)</t>
  </si>
  <si>
    <t>F00RC00419</t>
  </si>
  <si>
    <t>F00RC00634</t>
  </si>
  <si>
    <t>F00RJ02367</t>
  </si>
  <si>
    <t>CUSTOMER DEMAND  (units per period)</t>
  </si>
  <si>
    <t>F00RC00638</t>
  </si>
  <si>
    <t>F00RJ03113</t>
  </si>
  <si>
    <t>F00RC00515</t>
  </si>
  <si>
    <t>F00RJ02072</t>
  </si>
  <si>
    <t>F00RJ04862</t>
  </si>
  <si>
    <t>F00RC00917</t>
  </si>
  <si>
    <t>PACKAGING &amp; REMAINDER HANDLING</t>
  </si>
  <si>
    <t>ID</t>
  </si>
  <si>
    <t>Parameter</t>
  </si>
  <si>
    <t>Value</t>
  </si>
  <si>
    <t>Unit / Format</t>
  </si>
  <si>
    <t>Status / Notes</t>
  </si>
  <si>
    <t>PK1</t>
  </si>
  <si>
    <t>Package size (complete units only)</t>
  </si>
  <si>
    <t>parts</t>
  </si>
  <si>
    <t>ASSUMED</t>
  </si>
  <si>
    <t>PK2</t>
  </si>
  <si>
    <t>Remainder (Restmenge) handling</t>
  </si>
  <si>
    <t>Carry to next cycle as WIP at Load station</t>
  </si>
  <si>
    <t>text</t>
  </si>
  <si>
    <t>PK3</t>
  </si>
  <si>
    <t>Remainder processing priority</t>
  </si>
  <si>
    <t>High (before new arrivals)</t>
  </si>
  <si>
    <t>ASSUMED  –  Confirm with supervisor</t>
  </si>
  <si>
    <t>README  –  WORKBOOK STRUCTURE &amp; USAGE GUIDE</t>
  </si>
  <si>
    <t>SHEET</t>
  </si>
  <si>
    <t>PURPOSE</t>
  </si>
  <si>
    <t>KEY RULES</t>
  </si>
  <si>
    <t>Process</t>
  </si>
  <si>
    <t>Station parameters (cycle time, OEE, effective rate) &amp; shift settings</t>
  </si>
  <si>
    <t>Stations can differ per line.  Grey cells are calculated – do not edit.  Yellow = mandatory input.</t>
  </si>
  <si>
    <t>Buffers</t>
  </si>
  <si>
    <t>Buffer capacities, initial fill, blocking protocol</t>
  </si>
  <si>
    <t>All values are station &amp; line dependent.  BAS / BBS protocol documented in-sheet.</t>
  </si>
  <si>
    <t>Inspection</t>
  </si>
  <si>
    <t>Pass / rework / scrap rates; rework cycle time multiplier; loop limit</t>
  </si>
  <si>
    <t>Values are product &amp; line dependent.  Sum check column must show ✓ OK before running simulation.</t>
  </si>
  <si>
    <t>Arrival</t>
  </si>
  <si>
    <t>Arrival distribution, batch size, inter-batch interval</t>
  </si>
  <si>
    <t>Derived rates are calculated automatically.</t>
  </si>
  <si>
    <t>CustomerDemand</t>
  </si>
  <si>
    <t>Daily demand per product</t>
  </si>
  <si>
    <t>Add rows for additional periods.  Total column is calculated.</t>
  </si>
  <si>
    <t>Packaging</t>
  </si>
  <si>
    <t>Package size and remainder (Restmenge) handling rules</t>
  </si>
  <si>
    <t>PK4 is an open decision – must be confirmed before simulation.</t>
  </si>
  <si>
    <t>SetupState</t>
  </si>
  <si>
    <t>Current product loaded at each station/line at simulation start</t>
  </si>
  <si>
    <t>Update before each simulation run.</t>
  </si>
  <si>
    <t>README</t>
  </si>
  <si>
    <t>This guide</t>
  </si>
  <si>
    <t>COLOUR LEGEND</t>
  </si>
  <si>
    <t>Yellow  – mandatory user input (INPUT)</t>
  </si>
  <si>
    <t>Orange  – assumed default; review before use (ASSUMED)</t>
  </si>
  <si>
    <t>Green   – confirmed value (CONFIRMED)</t>
  </si>
  <si>
    <t>Grey    – calculated / read-only; do not edit</t>
  </si>
  <si>
    <t>Red     – capability gap / warning</t>
  </si>
  <si>
    <t>Sachnummer</t>
  </si>
  <si>
    <t>BatchSize</t>
  </si>
  <si>
    <t>CardsToTrigger</t>
  </si>
  <si>
    <t>F00RC00172</t>
  </si>
  <si>
    <t>F00RC00410</t>
  </si>
  <si>
    <t>F00RC00525</t>
  </si>
  <si>
    <t>F00RC00540</t>
  </si>
  <si>
    <t>F00RC00555</t>
  </si>
  <si>
    <t>F00RC00578</t>
  </si>
  <si>
    <t>F00RC00595</t>
  </si>
  <si>
    <t>F00RC00607</t>
  </si>
  <si>
    <t>F00RC00613</t>
  </si>
  <si>
    <t>F00RC00622</t>
  </si>
  <si>
    <t>F00RC00627</t>
  </si>
  <si>
    <t>F00RC00667</t>
  </si>
  <si>
    <t>F00RC00718</t>
  </si>
  <si>
    <t>F00RC00745</t>
  </si>
  <si>
    <t>F00RC00850</t>
  </si>
  <si>
    <t>F00RC00868</t>
  </si>
  <si>
    <t>F00RC00886</t>
  </si>
  <si>
    <t>F00RC00935</t>
  </si>
  <si>
    <t>F00RC00967</t>
  </si>
  <si>
    <t>F00RC00973</t>
  </si>
  <si>
    <t>F00RC01007</t>
  </si>
  <si>
    <t>F00RC01015</t>
  </si>
  <si>
    <t>F00RC01041</t>
  </si>
  <si>
    <t>F00RC01053</t>
  </si>
  <si>
    <t>F00RJ02034</t>
  </si>
  <si>
    <t>F00RJ02129</t>
  </si>
  <si>
    <t>F00RJ02198</t>
  </si>
  <si>
    <t>F00RJ02203</t>
  </si>
  <si>
    <t>F00RJ02298</t>
  </si>
  <si>
    <t>F00RJ02325</t>
  </si>
  <si>
    <t>F00RJ02336</t>
  </si>
  <si>
    <t>F00RJ02338</t>
  </si>
  <si>
    <t>F00RJ02340</t>
  </si>
  <si>
    <t>F00RJ02344</t>
  </si>
  <si>
    <t>F00RJ02346</t>
  </si>
  <si>
    <t>F00RJ02352</t>
  </si>
  <si>
    <t>F00RJ02364</t>
  </si>
  <si>
    <t>F00RJ02370</t>
  </si>
  <si>
    <t>F00RJ02433</t>
  </si>
  <si>
    <t>F00RJ02438</t>
  </si>
  <si>
    <t>F00RJ02446</t>
  </si>
  <si>
    <t>F00RJ02465</t>
  </si>
  <si>
    <t>F00RJ02471</t>
  </si>
  <si>
    <t>F00RJ02491</t>
  </si>
  <si>
    <t>F00RJ02516</t>
  </si>
  <si>
    <t>F00RJ02611</t>
  </si>
  <si>
    <t>F00RJ02711</t>
  </si>
  <si>
    <t>F00RJ02724</t>
  </si>
  <si>
    <t>F00RJ02733</t>
  </si>
  <si>
    <t>F00RJ04447</t>
  </si>
  <si>
    <t>F00RJ04832</t>
  </si>
  <si>
    <t>F00RJ05042</t>
  </si>
  <si>
    <t>F00RJ05175</t>
  </si>
  <si>
    <t>F00RJ05840</t>
  </si>
  <si>
    <t>Row = one 15-min withdrawal event. Qty columns = # kanban cards withdrawn for that sachnummer. Prio columns = H/M/L (default M).</t>
  </si>
  <si>
    <t>Time</t>
  </si>
  <si>
    <t>InitialCards</t>
  </si>
  <si>
    <t>InitialPcsPartial</t>
  </si>
  <si>
    <t>InitialCards = full batches (cards) sitting in the line's supermarket at t=0. InitialPcsPartial = leftover pcs not yet forming a full card (0-BatchSize-1).</t>
  </si>
  <si>
    <t>BatchSize = pcs per card (defaults to 50; Packaging sheet PK1 = 25 pcs/pack, review consistency)
CardsToTrigger = # of cards that must accumulate in the batch-size collector before production is released (default 5 — edit per product)</t>
  </si>
  <si>
    <t>collection-box emptying</t>
  </si>
  <si>
    <t>min</t>
  </si>
  <si>
    <t>kanban withdrawal cadence</t>
  </si>
  <si>
    <t>X</t>
  </si>
  <si>
    <t>Enter demand in units per day for each product type and line (if desired).  Add rows for additional days</t>
  </si>
  <si>
    <t>Date</t>
  </si>
  <si>
    <t>supermarket_capacity_cards</t>
  </si>
  <si>
    <t>cards</t>
  </si>
  <si>
    <t>02.09.2026</t>
  </si>
  <si>
    <t>03.09.2026</t>
  </si>
  <si>
    <t>04.09.2026</t>
  </si>
  <si>
    <t>05.09.2026</t>
  </si>
  <si>
    <t>07.09.2026</t>
  </si>
  <si>
    <t>08.09.2026</t>
  </si>
  <si>
    <t>01.09.2026</t>
  </si>
  <si>
    <t>Main runner</t>
  </si>
  <si>
    <t>Capacity</t>
  </si>
  <si>
    <t>RowNumber</t>
  </si>
  <si>
    <t>Exotic</t>
  </si>
  <si>
    <t>InitialState</t>
  </si>
  <si>
    <t>Product</t>
  </si>
  <si>
    <t>TotalQuantity</t>
  </si>
  <si>
    <t>LineId</t>
  </si>
  <si>
    <t>06:00:00</t>
  </si>
  <si>
    <t>Line 12</t>
  </si>
  <si>
    <t>Line 9</t>
  </si>
  <si>
    <t>Line 7</t>
  </si>
  <si>
    <t>09:26:46</t>
  </si>
  <si>
    <t>22:19:01</t>
  </si>
  <si>
    <t>11:24:30</t>
  </si>
  <si>
    <t>11:53:50</t>
  </si>
  <si>
    <t>04:33:06</t>
  </si>
  <si>
    <t>06:17:51</t>
  </si>
  <si>
    <t>10:24:31</t>
  </si>
  <si>
    <t>15:18:52</t>
  </si>
  <si>
    <t>05:56:37</t>
  </si>
  <si>
    <t>06:59:16</t>
  </si>
  <si>
    <t>12:43:46</t>
  </si>
  <si>
    <t>16:22:00</t>
  </si>
  <si>
    <t>04:53:58</t>
  </si>
  <si>
    <t>14:52:13</t>
  </si>
  <si>
    <t>14:13:29</t>
  </si>
  <si>
    <t>14:39:41</t>
  </si>
  <si>
    <t>15:34:01</t>
  </si>
  <si>
    <t>17:53:01</t>
  </si>
  <si>
    <t>03:33:36</t>
  </si>
  <si>
    <t>13:36:20</t>
  </si>
  <si>
    <t>01:38:18</t>
  </si>
  <si>
    <t>22:59:32</t>
  </si>
  <si>
    <t>00:40:37</t>
  </si>
  <si>
    <t>11:10:25</t>
  </si>
  <si>
    <t>13:00:17</t>
  </si>
  <si>
    <t>05:52:58</t>
  </si>
  <si>
    <t>Shifts</t>
  </si>
  <si>
    <t>Day</t>
  </si>
  <si>
    <t>Morning</t>
  </si>
  <si>
    <t>Afternoon</t>
  </si>
  <si>
    <t>Night</t>
  </si>
  <si>
    <t>Mon</t>
  </si>
  <si>
    <t>Tue</t>
  </si>
  <si>
    <t>Wed</t>
  </si>
  <si>
    <t>Thu</t>
  </si>
  <si>
    <t>Fri</t>
  </si>
  <si>
    <t>Sat</t>
  </si>
  <si>
    <t>Sun</t>
  </si>
  <si>
    <t>CalendarDay</t>
  </si>
  <si>
    <t>Starts</t>
  </si>
  <si>
    <t>Ends</t>
  </si>
  <si>
    <t>07:20:11</t>
  </si>
  <si>
    <t>16:55:20</t>
  </si>
  <si>
    <t>19:18:13</t>
  </si>
  <si>
    <t>04:20:09</t>
  </si>
  <si>
    <t>10:41:32</t>
  </si>
  <si>
    <t>16:01:58</t>
  </si>
  <si>
    <t>09.09.2026</t>
  </si>
  <si>
    <t>08:00:56</t>
  </si>
  <si>
    <t>10:03:53</t>
  </si>
  <si>
    <t>12:41:56</t>
  </si>
  <si>
    <t>16:37:56</t>
  </si>
  <si>
    <t>10.09.2026</t>
  </si>
  <si>
    <t>03:47:01</t>
  </si>
  <si>
    <t>05:09:54</t>
  </si>
  <si>
    <t>13:13:36</t>
  </si>
  <si>
    <t>11.09.2026</t>
  </si>
  <si>
    <t>05:18:46</t>
  </si>
  <si>
    <t>12.09.2026</t>
  </si>
  <si>
    <t>00:26:24</t>
  </si>
  <si>
    <t>04:42:03</t>
  </si>
  <si>
    <t>04:56:04</t>
  </si>
  <si>
    <t>14.09.2026</t>
  </si>
  <si>
    <t>14:42:13</t>
  </si>
  <si>
    <t>17:52:37</t>
  </si>
  <si>
    <t>20:47:25</t>
  </si>
  <si>
    <t>21:41:01</t>
  </si>
  <si>
    <t>15.09.2026</t>
  </si>
  <si>
    <t>08:11:47</t>
  </si>
  <si>
    <t>09:25:30</t>
  </si>
  <si>
    <t>13:38:22</t>
  </si>
  <si>
    <t>14:21:48</t>
  </si>
  <si>
    <t>18:51:29</t>
  </si>
  <si>
    <t>11:13:45</t>
  </si>
  <si>
    <t>21:17:59</t>
  </si>
  <si>
    <t>05:39:20</t>
  </si>
  <si>
    <t>13:13:24</t>
  </si>
  <si>
    <t>10:22:21</t>
  </si>
  <si>
    <t>16:46:48</t>
  </si>
  <si>
    <t>17:11:02</t>
  </si>
  <si>
    <t>01:24:23</t>
  </si>
  <si>
    <t>04:59:43</t>
  </si>
  <si>
    <t>14:13:44</t>
  </si>
  <si>
    <t>16:04:32</t>
  </si>
  <si>
    <t>14:56:47</t>
  </si>
  <si>
    <t>05:12:28</t>
  </si>
  <si>
    <t>15:19:03</t>
  </si>
  <si>
    <t>22:04:50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</si>
</sst>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555555"/>
      <name val="Arial"/>
      <family val="2"/>
    </font>
    <font>
      <sz val="9"/>
      <color rgb="FF444444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  <font>
      <i/>
      <sz val="11"/>
      <color rgb="FF808080"/>
      <name val="Calibri"/>
      <family val="2"/>
    </font>
    <font>
      <b/>
      <sz val="11"/>
      <color rgb="FFFFFFFF"/>
      <name val="Arial"/>
      <charset val="1"/>
    </font>
    <font>
      <sz val="11"/>
      <name val="Arial"/>
      <charset val="1"/>
    </font>
    <font>
      <sz val="8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F5E9"/>
      </patternFill>
    </fill>
    <fill>
      <patternFill patternType="solid">
        <fgColor rgb="FF2E75B6"/>
        <bgColor rgb="FF0066CC"/>
      </patternFill>
    </fill>
    <fill>
      <patternFill patternType="solid">
        <fgColor rgb="FFFFF3E0"/>
        <bgColor rgb="FFF5F5F5"/>
      </patternFill>
    </fill>
    <fill>
      <patternFill patternType="solid">
        <fgColor rgb="FFFFF9C4"/>
        <bgColor rgb="FFFFF3E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EF7EE"/>
      </patternFill>
    </fill>
    <fill>
      <patternFill patternType="solid">
        <fgColor rgb="FFEBF3FB"/>
        <bgColor rgb="FFEEF7EE"/>
      </patternFill>
    </fill>
    <fill>
      <patternFill patternType="solid">
        <fgColor rgb="FFEEF7EE"/>
        <bgColor rgb="FFE8F5E9"/>
      </patternFill>
    </fill>
    <fill>
      <patternFill patternType="solid">
        <fgColor rgb="FFE8F5E9"/>
        <bgColor rgb="FFEEF7EE"/>
      </patternFill>
    </fill>
    <fill>
      <patternFill patternType="solid">
        <fgColor rgb="FFFFE0E0"/>
        <bgColor rgb="FFFFF3E0"/>
      </patternFill>
    </fill>
    <fill>
      <patternFill patternType="solid">
        <fgColor theme="0"/>
        <bgColor rgb="FFFFF3E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666699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165" fontId="4" fillId="6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7" borderId="2" xfId="0" applyFont="1" applyFill="1" applyBorder="1" applyAlignment="1">
      <alignment horizontal="left" vertical="center"/>
    </xf>
    <xf numFmtId="166" fontId="4" fillId="6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7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8" fillId="14" borderId="0" xfId="0" applyFont="1" applyFill="1"/>
    <xf numFmtId="0" fontId="9" fillId="0" borderId="0" xfId="0" applyFont="1"/>
    <xf numFmtId="0" fontId="0" fillId="0" borderId="0" xfId="0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10" fillId="15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right"/>
    </xf>
    <xf numFmtId="14" fontId="4" fillId="7" borderId="2" xfId="0" applyNumberFormat="1" applyFont="1" applyFill="1" applyBorder="1" applyAlignment="1">
      <alignment horizontal="center" vertical="center"/>
    </xf>
    <xf numFmtId="14" fontId="4" fillId="9" borderId="2" xfId="0" applyNumberFormat="1" applyFont="1" applyFill="1" applyBorder="1" applyAlignment="1">
      <alignment horizontal="center" vertical="center"/>
    </xf>
    <xf numFmtId="14" fontId="4" fillId="10" borderId="2" xfId="0" applyNumberFormat="1" applyFont="1" applyFill="1" applyBorder="1" applyAlignment="1">
      <alignment horizontal="center" vertical="center"/>
    </xf>
    <xf numFmtId="21" fontId="4" fillId="6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3" xfId="0" applyBorder="1"/>
    <xf numFmtId="0" fontId="5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2" fillId="6" borderId="2" xfId="0" applyFont="1" applyFill="1" applyBorder="1" applyAlignment="1">
      <alignment horizontal="left" vertical="center"/>
    </xf>
    <xf numFmtId="0" fontId="0" fillId="0" borderId="4" xfId="0" applyBorder="1"/>
    <xf numFmtId="0" fontId="2" fillId="8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5F5F5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EF7EE"/>
      <rgbColor rgb="FFFFF3E0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444444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115" zoomScaleNormal="115" workbookViewId="0">
      <pane ySplit="1" topLeftCell="A2" activePane="bottomLeft" state="frozen"/>
      <selection pane="bottomLeft" activeCell="A17" sqref="A17"/>
    </sheetView>
  </sheetViews>
  <sheetFormatPr defaultColWidth="8.6640625" defaultRowHeight="14.25" x14ac:dyDescent="0.45"/>
  <cols>
    <col min="1" max="1" width="20" customWidth="1"/>
    <col min="2" max="2" width="8" customWidth="1"/>
    <col min="3" max="3" width="13.53125" customWidth="1"/>
    <col min="4" max="4" width="12" customWidth="1"/>
    <col min="5" max="5" width="14" customWidth="1"/>
    <col min="6" max="6" width="22.73046875" bestFit="1" customWidth="1"/>
  </cols>
  <sheetData>
    <row r="1" spans="1:6" ht="21.75" customHeight="1" x14ac:dyDescent="0.45">
      <c r="A1" s="48" t="s">
        <v>0</v>
      </c>
      <c r="B1" s="47"/>
      <c r="C1" s="47"/>
      <c r="D1" s="47"/>
      <c r="E1" s="47"/>
      <c r="F1" s="47"/>
    </row>
    <row r="2" spans="1:6" ht="15" customHeight="1" x14ac:dyDescent="0.45">
      <c r="A2" s="44" t="s">
        <v>1</v>
      </c>
      <c r="B2" s="45"/>
      <c r="C2" s="45"/>
      <c r="D2" s="45"/>
      <c r="E2" s="45"/>
      <c r="F2" s="45"/>
    </row>
    <row r="3" spans="1:6" ht="15" customHeight="1" x14ac:dyDescent="0.4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5" customHeight="1" x14ac:dyDescent="0.45">
      <c r="A4" s="22" t="s">
        <v>8</v>
      </c>
      <c r="B4" s="6" t="s">
        <v>9</v>
      </c>
      <c r="C4" s="3">
        <v>10</v>
      </c>
      <c r="D4" s="3">
        <v>0.85</v>
      </c>
      <c r="E4" s="7">
        <f t="shared" ref="E4:E20" si="0">D4/C4</f>
        <v>8.4999999999999992E-2</v>
      </c>
      <c r="F4" s="8">
        <f t="shared" ref="F4:F20" si="1">8*2*60-45</f>
        <v>915</v>
      </c>
    </row>
    <row r="5" spans="1:6" ht="15" customHeight="1" x14ac:dyDescent="0.45">
      <c r="A5" s="22" t="s">
        <v>10</v>
      </c>
      <c r="B5" s="6" t="s">
        <v>9</v>
      </c>
      <c r="C5" s="3">
        <v>10</v>
      </c>
      <c r="D5" s="3">
        <v>0.85</v>
      </c>
      <c r="E5" s="7">
        <f t="shared" si="0"/>
        <v>8.4999999999999992E-2</v>
      </c>
      <c r="F5" s="8">
        <f t="shared" si="1"/>
        <v>915</v>
      </c>
    </row>
    <row r="6" spans="1:6" ht="15" customHeight="1" x14ac:dyDescent="0.45">
      <c r="A6" s="22" t="s">
        <v>11</v>
      </c>
      <c r="B6" s="6" t="s">
        <v>9</v>
      </c>
      <c r="C6" s="3">
        <v>10</v>
      </c>
      <c r="D6" s="3">
        <v>0.85</v>
      </c>
      <c r="E6" s="7">
        <f t="shared" si="0"/>
        <v>8.4999999999999992E-2</v>
      </c>
      <c r="F6" s="8">
        <f t="shared" si="1"/>
        <v>915</v>
      </c>
    </row>
    <row r="7" spans="1:6" ht="15" customHeight="1" x14ac:dyDescent="0.45">
      <c r="A7" s="22" t="s">
        <v>12</v>
      </c>
      <c r="B7" s="6" t="s">
        <v>9</v>
      </c>
      <c r="C7" s="3">
        <v>10</v>
      </c>
      <c r="D7" s="3">
        <v>0.85</v>
      </c>
      <c r="E7" s="7">
        <f t="shared" si="0"/>
        <v>8.4999999999999992E-2</v>
      </c>
      <c r="F7" s="8">
        <f t="shared" si="1"/>
        <v>915</v>
      </c>
    </row>
    <row r="8" spans="1:6" ht="15" customHeight="1" x14ac:dyDescent="0.45">
      <c r="A8" s="22" t="s">
        <v>13</v>
      </c>
      <c r="B8" s="6" t="s">
        <v>9</v>
      </c>
      <c r="C8" s="3">
        <v>10</v>
      </c>
      <c r="D8" s="3">
        <v>0.85</v>
      </c>
      <c r="E8" s="7">
        <f t="shared" si="0"/>
        <v>8.4999999999999992E-2</v>
      </c>
      <c r="F8" s="8">
        <f t="shared" si="1"/>
        <v>915</v>
      </c>
    </row>
    <row r="9" spans="1:6" ht="15" customHeight="1" x14ac:dyDescent="0.45">
      <c r="A9" s="22" t="s">
        <v>14</v>
      </c>
      <c r="B9" s="6" t="s">
        <v>9</v>
      </c>
      <c r="C9" s="3">
        <v>10</v>
      </c>
      <c r="D9" s="3">
        <v>0.85</v>
      </c>
      <c r="E9" s="7">
        <f t="shared" si="0"/>
        <v>8.4999999999999992E-2</v>
      </c>
      <c r="F9" s="8">
        <f t="shared" si="1"/>
        <v>915</v>
      </c>
    </row>
    <row r="10" spans="1:6" ht="15" customHeight="1" x14ac:dyDescent="0.45">
      <c r="A10" s="22" t="s">
        <v>15</v>
      </c>
      <c r="B10" s="6" t="s">
        <v>9</v>
      </c>
      <c r="C10" s="3">
        <v>10</v>
      </c>
      <c r="D10" s="3">
        <v>0.85</v>
      </c>
      <c r="E10" s="7">
        <f t="shared" si="0"/>
        <v>8.4999999999999992E-2</v>
      </c>
      <c r="F10" s="8">
        <f t="shared" si="1"/>
        <v>915</v>
      </c>
    </row>
    <row r="11" spans="1:6" ht="15" customHeight="1" x14ac:dyDescent="0.45">
      <c r="A11" s="22" t="s">
        <v>16</v>
      </c>
      <c r="B11" s="6" t="s">
        <v>9</v>
      </c>
      <c r="C11" s="3">
        <v>10</v>
      </c>
      <c r="D11" s="3">
        <v>0.85</v>
      </c>
      <c r="E11" s="7">
        <f t="shared" si="0"/>
        <v>8.4999999999999992E-2</v>
      </c>
      <c r="F11" s="8">
        <f t="shared" si="1"/>
        <v>915</v>
      </c>
    </row>
    <row r="12" spans="1:6" ht="15" customHeight="1" x14ac:dyDescent="0.45">
      <c r="A12" s="9" t="s">
        <v>8</v>
      </c>
      <c r="B12" s="10" t="s">
        <v>17</v>
      </c>
      <c r="C12" s="3">
        <v>10</v>
      </c>
      <c r="D12" s="3">
        <v>0.85</v>
      </c>
      <c r="E12" s="7">
        <f t="shared" si="0"/>
        <v>8.4999999999999992E-2</v>
      </c>
      <c r="F12" s="8">
        <f t="shared" si="1"/>
        <v>915</v>
      </c>
    </row>
    <row r="13" spans="1:6" ht="15" customHeight="1" x14ac:dyDescent="0.45">
      <c r="A13" s="9" t="s">
        <v>10</v>
      </c>
      <c r="B13" s="10" t="s">
        <v>17</v>
      </c>
      <c r="C13" s="3">
        <v>10</v>
      </c>
      <c r="D13" s="3">
        <v>0.85</v>
      </c>
      <c r="E13" s="7">
        <f t="shared" si="0"/>
        <v>8.4999999999999992E-2</v>
      </c>
      <c r="F13" s="8">
        <f t="shared" si="1"/>
        <v>915</v>
      </c>
    </row>
    <row r="14" spans="1:6" ht="15" customHeight="1" x14ac:dyDescent="0.45">
      <c r="A14" s="9" t="s">
        <v>14</v>
      </c>
      <c r="B14" s="10" t="s">
        <v>17</v>
      </c>
      <c r="C14" s="3">
        <v>10</v>
      </c>
      <c r="D14" s="3">
        <v>0.85</v>
      </c>
      <c r="E14" s="7">
        <f t="shared" si="0"/>
        <v>8.4999999999999992E-2</v>
      </c>
      <c r="F14" s="8">
        <f t="shared" si="1"/>
        <v>915</v>
      </c>
    </row>
    <row r="15" spans="1:6" ht="15" customHeight="1" x14ac:dyDescent="0.45">
      <c r="A15" s="9" t="s">
        <v>15</v>
      </c>
      <c r="B15" s="10" t="s">
        <v>17</v>
      </c>
      <c r="C15" s="3">
        <v>10</v>
      </c>
      <c r="D15" s="3">
        <v>0.85</v>
      </c>
      <c r="E15" s="7">
        <f t="shared" si="0"/>
        <v>8.4999999999999992E-2</v>
      </c>
      <c r="F15" s="8">
        <f t="shared" si="1"/>
        <v>915</v>
      </c>
    </row>
    <row r="16" spans="1:6" ht="15" customHeight="1" x14ac:dyDescent="0.45">
      <c r="A16" s="9" t="s">
        <v>16</v>
      </c>
      <c r="B16" s="10" t="s">
        <v>17</v>
      </c>
      <c r="C16" s="3">
        <v>10</v>
      </c>
      <c r="D16" s="3">
        <v>0.85</v>
      </c>
      <c r="E16" s="7">
        <f t="shared" si="0"/>
        <v>8.4999999999999992E-2</v>
      </c>
      <c r="F16" s="8">
        <f t="shared" si="1"/>
        <v>915</v>
      </c>
    </row>
    <row r="17" spans="1:6" ht="15" customHeight="1" x14ac:dyDescent="0.45">
      <c r="A17" s="11" t="s">
        <v>8</v>
      </c>
      <c r="B17" s="12" t="s">
        <v>18</v>
      </c>
      <c r="C17" s="3">
        <v>10</v>
      </c>
      <c r="D17" s="3">
        <v>0.85</v>
      </c>
      <c r="E17" s="7">
        <f t="shared" si="0"/>
        <v>8.4999999999999992E-2</v>
      </c>
      <c r="F17" s="8">
        <f t="shared" si="1"/>
        <v>915</v>
      </c>
    </row>
    <row r="18" spans="1:6" ht="15" customHeight="1" x14ac:dyDescent="0.45">
      <c r="A18" s="11" t="s">
        <v>14</v>
      </c>
      <c r="B18" s="12" t="s">
        <v>18</v>
      </c>
      <c r="C18" s="3">
        <v>10</v>
      </c>
      <c r="D18" s="3">
        <v>0.85</v>
      </c>
      <c r="E18" s="7">
        <f t="shared" si="0"/>
        <v>8.4999999999999992E-2</v>
      </c>
      <c r="F18" s="8">
        <f t="shared" si="1"/>
        <v>915</v>
      </c>
    </row>
    <row r="19" spans="1:6" ht="15" customHeight="1" x14ac:dyDescent="0.45">
      <c r="A19" s="11" t="s">
        <v>15</v>
      </c>
      <c r="B19" s="12" t="s">
        <v>18</v>
      </c>
      <c r="C19" s="3">
        <v>10</v>
      </c>
      <c r="D19" s="3">
        <v>0.85</v>
      </c>
      <c r="E19" s="7">
        <f t="shared" si="0"/>
        <v>8.4999999999999992E-2</v>
      </c>
      <c r="F19" s="8">
        <f t="shared" si="1"/>
        <v>915</v>
      </c>
    </row>
    <row r="20" spans="1:6" ht="15" customHeight="1" x14ac:dyDescent="0.45">
      <c r="A20" s="11" t="s">
        <v>16</v>
      </c>
      <c r="B20" s="12" t="s">
        <v>18</v>
      </c>
      <c r="C20" s="3">
        <v>10</v>
      </c>
      <c r="D20" s="3">
        <v>0.85</v>
      </c>
      <c r="E20" s="7">
        <f t="shared" si="0"/>
        <v>8.4999999999999992E-2</v>
      </c>
      <c r="F20" s="8">
        <f t="shared" si="1"/>
        <v>915</v>
      </c>
    </row>
    <row r="21" spans="1:6" ht="15" customHeight="1" x14ac:dyDescent="0.45">
      <c r="A21" s="46" t="s">
        <v>19</v>
      </c>
      <c r="B21" s="47"/>
      <c r="C21" s="47"/>
      <c r="D21" s="47"/>
      <c r="E21" s="47"/>
      <c r="F21" s="47"/>
    </row>
  </sheetData>
  <mergeCells count="3">
    <mergeCell ref="A2:F2"/>
    <mergeCell ref="A21:F21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F094-4655-472A-BF18-B41A224CE48A}">
  <dimension ref="A1:F54"/>
  <sheetViews>
    <sheetView showGridLines="0" tabSelected="1" topLeftCell="A24" workbookViewId="0">
      <selection activeCell="D54" sqref="D54"/>
    </sheetView>
  </sheetViews>
  <sheetFormatPr defaultRowHeight="14.25" x14ac:dyDescent="0.45"/>
  <cols>
    <col min="2" max="2" width="9.796875" bestFit="1" customWidth="1"/>
    <col min="3" max="3" width="11.9296875" bestFit="1" customWidth="1"/>
  </cols>
  <sheetData>
    <row r="1" spans="1:6" ht="16.899999999999999" x14ac:dyDescent="0.45">
      <c r="A1" s="48" t="s">
        <v>261</v>
      </c>
      <c r="B1" s="48"/>
      <c r="C1" s="47"/>
      <c r="D1" s="47"/>
      <c r="E1" s="47"/>
      <c r="F1" s="47"/>
    </row>
    <row r="2" spans="1:6" x14ac:dyDescent="0.45">
      <c r="A2" s="1" t="s">
        <v>261</v>
      </c>
      <c r="B2" s="1" t="s">
        <v>274</v>
      </c>
      <c r="C2" s="1" t="s">
        <v>275</v>
      </c>
    </row>
    <row r="3" spans="1:6" x14ac:dyDescent="0.45">
      <c r="A3" s="6" t="s">
        <v>263</v>
      </c>
      <c r="B3" s="43">
        <v>0.25</v>
      </c>
      <c r="C3" s="43">
        <v>0.58332175925925922</v>
      </c>
    </row>
    <row r="4" spans="1:6" x14ac:dyDescent="0.45">
      <c r="A4" s="6" t="s">
        <v>264</v>
      </c>
      <c r="B4" s="43">
        <v>0.58333333333333337</v>
      </c>
      <c r="C4" s="43">
        <v>0.91665509259259259</v>
      </c>
    </row>
    <row r="5" spans="1:6" x14ac:dyDescent="0.45">
      <c r="A5" s="6" t="s">
        <v>265</v>
      </c>
      <c r="B5" s="43">
        <v>0.91666666666666663</v>
      </c>
      <c r="C5" s="43">
        <v>0.24998842592592593</v>
      </c>
    </row>
    <row r="6" spans="1:6" x14ac:dyDescent="0.45">
      <c r="A6" s="1" t="s">
        <v>3</v>
      </c>
      <c r="B6" s="1" t="s">
        <v>262</v>
      </c>
      <c r="C6" s="1" t="s">
        <v>273</v>
      </c>
      <c r="D6" s="1" t="s">
        <v>263</v>
      </c>
      <c r="E6" s="1" t="s">
        <v>264</v>
      </c>
      <c r="F6" s="1" t="s">
        <v>265</v>
      </c>
    </row>
    <row r="7" spans="1:6" x14ac:dyDescent="0.45">
      <c r="A7" s="6" t="s">
        <v>9</v>
      </c>
      <c r="B7" s="40">
        <v>46266</v>
      </c>
      <c r="C7" s="6" t="s">
        <v>267</v>
      </c>
      <c r="D7" s="3" t="s">
        <v>211</v>
      </c>
      <c r="E7" s="3" t="s">
        <v>211</v>
      </c>
      <c r="F7" s="3" t="s">
        <v>211</v>
      </c>
    </row>
    <row r="8" spans="1:6" x14ac:dyDescent="0.45">
      <c r="A8" s="6" t="s">
        <v>9</v>
      </c>
      <c r="B8" s="40">
        <v>46267</v>
      </c>
      <c r="C8" s="6" t="s">
        <v>268</v>
      </c>
      <c r="D8" s="3" t="s">
        <v>211</v>
      </c>
      <c r="E8" s="3" t="s">
        <v>211</v>
      </c>
      <c r="F8" s="3" t="s">
        <v>211</v>
      </c>
    </row>
    <row r="9" spans="1:6" x14ac:dyDescent="0.45">
      <c r="A9" s="6" t="s">
        <v>9</v>
      </c>
      <c r="B9" s="40">
        <v>46268</v>
      </c>
      <c r="C9" s="6" t="s">
        <v>269</v>
      </c>
      <c r="D9" s="3" t="s">
        <v>211</v>
      </c>
      <c r="E9" s="3" t="s">
        <v>211</v>
      </c>
      <c r="F9" s="3" t="s">
        <v>211</v>
      </c>
    </row>
    <row r="10" spans="1:6" x14ac:dyDescent="0.45">
      <c r="A10" s="6" t="s">
        <v>9</v>
      </c>
      <c r="B10" s="40">
        <v>46269</v>
      </c>
      <c r="C10" s="6" t="s">
        <v>270</v>
      </c>
      <c r="D10" s="3" t="s">
        <v>211</v>
      </c>
      <c r="E10" s="3" t="s">
        <v>211</v>
      </c>
      <c r="F10" s="3" t="s">
        <v>211</v>
      </c>
    </row>
    <row r="11" spans="1:6" x14ac:dyDescent="0.45">
      <c r="A11" s="6" t="s">
        <v>9</v>
      </c>
      <c r="B11" s="40">
        <v>46270</v>
      </c>
      <c r="C11" s="6" t="s">
        <v>271</v>
      </c>
      <c r="D11" s="3" t="s">
        <v>211</v>
      </c>
      <c r="E11" s="3"/>
      <c r="F11" s="3"/>
    </row>
    <row r="12" spans="1:6" x14ac:dyDescent="0.45">
      <c r="A12" s="6" t="s">
        <v>9</v>
      </c>
      <c r="B12" s="40">
        <v>46271</v>
      </c>
      <c r="C12" s="6" t="s">
        <v>272</v>
      </c>
      <c r="D12" s="3"/>
      <c r="E12" s="3"/>
      <c r="F12" s="3"/>
    </row>
    <row r="13" spans="1:6" x14ac:dyDescent="0.45">
      <c r="A13" s="6" t="s">
        <v>9</v>
      </c>
      <c r="B13" s="40">
        <v>46272</v>
      </c>
      <c r="C13" s="6" t="s">
        <v>266</v>
      </c>
      <c r="D13" s="3" t="s">
        <v>211</v>
      </c>
      <c r="E13" s="3" t="s">
        <v>211</v>
      </c>
      <c r="F13" s="3" t="s">
        <v>211</v>
      </c>
    </row>
    <row r="14" spans="1:6" x14ac:dyDescent="0.45">
      <c r="A14" s="6" t="s">
        <v>9</v>
      </c>
      <c r="B14" s="40">
        <v>46273</v>
      </c>
      <c r="C14" s="6" t="s">
        <v>267</v>
      </c>
      <c r="D14" s="3" t="s">
        <v>211</v>
      </c>
      <c r="E14" s="3" t="s">
        <v>211</v>
      </c>
      <c r="F14" s="3" t="s">
        <v>211</v>
      </c>
    </row>
    <row r="15" spans="1:6" x14ac:dyDescent="0.45">
      <c r="A15" s="6" t="s">
        <v>9</v>
      </c>
      <c r="B15" s="40">
        <v>46274</v>
      </c>
      <c r="C15" s="6" t="s">
        <v>268</v>
      </c>
      <c r="D15" s="3" t="s">
        <v>211</v>
      </c>
      <c r="E15" s="3" t="s">
        <v>211</v>
      </c>
      <c r="F15" s="3" t="s">
        <v>211</v>
      </c>
    </row>
    <row r="16" spans="1:6" x14ac:dyDescent="0.45">
      <c r="A16" s="6" t="s">
        <v>9</v>
      </c>
      <c r="B16" s="40">
        <v>46275</v>
      </c>
      <c r="C16" s="6" t="s">
        <v>269</v>
      </c>
      <c r="D16" s="3" t="s">
        <v>211</v>
      </c>
      <c r="E16" s="3" t="s">
        <v>211</v>
      </c>
      <c r="F16" s="3" t="s">
        <v>211</v>
      </c>
    </row>
    <row r="17" spans="1:6" x14ac:dyDescent="0.45">
      <c r="A17" s="6" t="s">
        <v>9</v>
      </c>
      <c r="B17" s="40">
        <v>46276</v>
      </c>
      <c r="C17" s="6" t="s">
        <v>270</v>
      </c>
      <c r="D17" s="3" t="s">
        <v>211</v>
      </c>
      <c r="E17" s="3" t="s">
        <v>211</v>
      </c>
      <c r="F17" s="3" t="s">
        <v>211</v>
      </c>
    </row>
    <row r="18" spans="1:6" x14ac:dyDescent="0.45">
      <c r="A18" s="6" t="s">
        <v>9</v>
      </c>
      <c r="B18" s="40">
        <v>46277</v>
      </c>
      <c r="C18" s="6" t="s">
        <v>271</v>
      </c>
      <c r="D18" s="3" t="s">
        <v>211</v>
      </c>
      <c r="E18" s="3"/>
      <c r="F18" s="3"/>
    </row>
    <row r="19" spans="1:6" x14ac:dyDescent="0.45">
      <c r="A19" s="6" t="s">
        <v>9</v>
      </c>
      <c r="B19" s="40">
        <v>46278</v>
      </c>
      <c r="C19" s="6" t="s">
        <v>272</v>
      </c>
      <c r="D19" s="3"/>
      <c r="E19" s="3"/>
      <c r="F19" s="3"/>
    </row>
    <row r="20" spans="1:6" x14ac:dyDescent="0.45">
      <c r="A20" s="6" t="s">
        <v>9</v>
      </c>
      <c r="B20" s="40">
        <v>46279</v>
      </c>
      <c r="C20" s="6" t="s">
        <v>266</v>
      </c>
      <c r="D20" s="3" t="s">
        <v>211</v>
      </c>
      <c r="E20" s="3" t="s">
        <v>211</v>
      </c>
      <c r="F20" s="3" t="s">
        <v>211</v>
      </c>
    </row>
    <row r="21" spans="1:6" x14ac:dyDescent="0.45">
      <c r="A21" s="6" t="s">
        <v>9</v>
      </c>
      <c r="B21" s="40">
        <v>46280</v>
      </c>
      <c r="C21" s="6" t="s">
        <v>267</v>
      </c>
      <c r="D21" s="3" t="s">
        <v>211</v>
      </c>
      <c r="E21" s="3" t="s">
        <v>211</v>
      </c>
      <c r="F21" s="3" t="s">
        <v>211</v>
      </c>
    </row>
    <row r="22" spans="1:6" x14ac:dyDescent="0.45">
      <c r="A22" s="6" t="s">
        <v>9</v>
      </c>
      <c r="B22" s="40">
        <v>46281</v>
      </c>
      <c r="C22" s="6" t="s">
        <v>268</v>
      </c>
      <c r="D22" s="3" t="s">
        <v>211</v>
      </c>
      <c r="E22" s="3" t="s">
        <v>211</v>
      </c>
      <c r="F22" s="3" t="s">
        <v>211</v>
      </c>
    </row>
    <row r="23" spans="1:6" x14ac:dyDescent="0.45">
      <c r="A23" s="10" t="s">
        <v>17</v>
      </c>
      <c r="B23" s="41">
        <v>46266</v>
      </c>
      <c r="C23" s="10" t="s">
        <v>267</v>
      </c>
      <c r="D23" s="3" t="s">
        <v>211</v>
      </c>
      <c r="E23" s="3" t="s">
        <v>211</v>
      </c>
      <c r="F23" s="3" t="s">
        <v>211</v>
      </c>
    </row>
    <row r="24" spans="1:6" x14ac:dyDescent="0.45">
      <c r="A24" s="10" t="s">
        <v>17</v>
      </c>
      <c r="B24" s="41">
        <v>46267</v>
      </c>
      <c r="C24" s="10" t="s">
        <v>268</v>
      </c>
      <c r="D24" s="3" t="s">
        <v>211</v>
      </c>
      <c r="E24" s="3" t="s">
        <v>211</v>
      </c>
      <c r="F24" s="3" t="s">
        <v>211</v>
      </c>
    </row>
    <row r="25" spans="1:6" x14ac:dyDescent="0.45">
      <c r="A25" s="10" t="s">
        <v>17</v>
      </c>
      <c r="B25" s="41">
        <v>46268</v>
      </c>
      <c r="C25" s="10" t="s">
        <v>269</v>
      </c>
      <c r="D25" s="3" t="s">
        <v>211</v>
      </c>
      <c r="E25" s="3" t="s">
        <v>211</v>
      </c>
      <c r="F25" s="3" t="s">
        <v>211</v>
      </c>
    </row>
    <row r="26" spans="1:6" x14ac:dyDescent="0.45">
      <c r="A26" s="10" t="s">
        <v>17</v>
      </c>
      <c r="B26" s="41">
        <v>46269</v>
      </c>
      <c r="C26" s="10" t="s">
        <v>270</v>
      </c>
      <c r="D26" s="3" t="s">
        <v>211</v>
      </c>
      <c r="E26" s="3" t="s">
        <v>211</v>
      </c>
      <c r="F26" s="3" t="s">
        <v>211</v>
      </c>
    </row>
    <row r="27" spans="1:6" x14ac:dyDescent="0.45">
      <c r="A27" s="10" t="s">
        <v>17</v>
      </c>
      <c r="B27" s="41">
        <v>46270</v>
      </c>
      <c r="C27" s="10" t="s">
        <v>271</v>
      </c>
      <c r="D27" s="3" t="s">
        <v>211</v>
      </c>
      <c r="E27" s="3"/>
      <c r="F27" s="3"/>
    </row>
    <row r="28" spans="1:6" x14ac:dyDescent="0.45">
      <c r="A28" s="10" t="s">
        <v>17</v>
      </c>
      <c r="B28" s="41">
        <v>46271</v>
      </c>
      <c r="C28" s="10" t="s">
        <v>272</v>
      </c>
      <c r="D28" s="3"/>
      <c r="E28" s="3"/>
      <c r="F28" s="3"/>
    </row>
    <row r="29" spans="1:6" x14ac:dyDescent="0.45">
      <c r="A29" s="10" t="s">
        <v>17</v>
      </c>
      <c r="B29" s="41">
        <v>46272</v>
      </c>
      <c r="C29" s="10" t="s">
        <v>266</v>
      </c>
      <c r="D29" s="3" t="s">
        <v>211</v>
      </c>
      <c r="E29" s="3" t="s">
        <v>211</v>
      </c>
      <c r="F29" s="3" t="s">
        <v>211</v>
      </c>
    </row>
    <row r="30" spans="1:6" x14ac:dyDescent="0.45">
      <c r="A30" s="10" t="s">
        <v>17</v>
      </c>
      <c r="B30" s="41">
        <v>46273</v>
      </c>
      <c r="C30" s="10" t="s">
        <v>267</v>
      </c>
      <c r="D30" s="3" t="s">
        <v>211</v>
      </c>
      <c r="E30" s="3" t="s">
        <v>211</v>
      </c>
      <c r="F30" s="3" t="s">
        <v>211</v>
      </c>
    </row>
    <row r="31" spans="1:6" x14ac:dyDescent="0.45">
      <c r="A31" s="10" t="s">
        <v>17</v>
      </c>
      <c r="B31" s="41">
        <v>46274</v>
      </c>
      <c r="C31" s="10" t="s">
        <v>268</v>
      </c>
      <c r="D31" s="3" t="s">
        <v>211</v>
      </c>
      <c r="E31" s="3" t="s">
        <v>211</v>
      </c>
      <c r="F31" s="3" t="s">
        <v>211</v>
      </c>
    </row>
    <row r="32" spans="1:6" x14ac:dyDescent="0.45">
      <c r="A32" s="10" t="s">
        <v>17</v>
      </c>
      <c r="B32" s="41">
        <v>46275</v>
      </c>
      <c r="C32" s="10" t="s">
        <v>269</v>
      </c>
      <c r="D32" s="3" t="s">
        <v>211</v>
      </c>
      <c r="E32" s="3" t="s">
        <v>211</v>
      </c>
      <c r="F32" s="3" t="s">
        <v>211</v>
      </c>
    </row>
    <row r="33" spans="1:6" x14ac:dyDescent="0.45">
      <c r="A33" s="10" t="s">
        <v>17</v>
      </c>
      <c r="B33" s="41">
        <v>46276</v>
      </c>
      <c r="C33" s="10" t="s">
        <v>270</v>
      </c>
      <c r="D33" s="3" t="s">
        <v>211</v>
      </c>
      <c r="E33" s="3" t="s">
        <v>211</v>
      </c>
      <c r="F33" s="3" t="s">
        <v>211</v>
      </c>
    </row>
    <row r="34" spans="1:6" x14ac:dyDescent="0.45">
      <c r="A34" s="10" t="s">
        <v>17</v>
      </c>
      <c r="B34" s="41">
        <v>46277</v>
      </c>
      <c r="C34" s="10" t="s">
        <v>271</v>
      </c>
      <c r="D34" s="3" t="s">
        <v>211</v>
      </c>
      <c r="E34" s="3"/>
      <c r="F34" s="3"/>
    </row>
    <row r="35" spans="1:6" x14ac:dyDescent="0.45">
      <c r="A35" s="10" t="s">
        <v>17</v>
      </c>
      <c r="B35" s="41">
        <v>46278</v>
      </c>
      <c r="C35" s="10" t="s">
        <v>272</v>
      </c>
      <c r="D35" s="3"/>
      <c r="E35" s="3"/>
      <c r="F35" s="3"/>
    </row>
    <row r="36" spans="1:6" x14ac:dyDescent="0.45">
      <c r="A36" s="10" t="s">
        <v>17</v>
      </c>
      <c r="B36" s="41">
        <v>46279</v>
      </c>
      <c r="C36" s="10" t="s">
        <v>266</v>
      </c>
      <c r="D36" s="3" t="s">
        <v>211</v>
      </c>
      <c r="E36" s="3" t="s">
        <v>211</v>
      </c>
      <c r="F36" s="3" t="s">
        <v>211</v>
      </c>
    </row>
    <row r="37" spans="1:6" x14ac:dyDescent="0.45">
      <c r="A37" s="10" t="s">
        <v>17</v>
      </c>
      <c r="B37" s="41">
        <v>46280</v>
      </c>
      <c r="C37" s="10" t="s">
        <v>267</v>
      </c>
      <c r="D37" s="3" t="s">
        <v>211</v>
      </c>
      <c r="E37" s="3" t="s">
        <v>211</v>
      </c>
      <c r="F37" s="3" t="s">
        <v>211</v>
      </c>
    </row>
    <row r="38" spans="1:6" x14ac:dyDescent="0.45">
      <c r="A38" s="10" t="s">
        <v>17</v>
      </c>
      <c r="B38" s="41">
        <v>46281</v>
      </c>
      <c r="C38" s="10" t="s">
        <v>268</v>
      </c>
      <c r="D38" s="3" t="s">
        <v>211</v>
      </c>
      <c r="E38" s="3" t="s">
        <v>211</v>
      </c>
      <c r="F38" s="3" t="s">
        <v>211</v>
      </c>
    </row>
    <row r="39" spans="1:6" x14ac:dyDescent="0.45">
      <c r="A39" s="12" t="s">
        <v>18</v>
      </c>
      <c r="B39" s="42">
        <v>46266</v>
      </c>
      <c r="C39" s="12" t="s">
        <v>267</v>
      </c>
      <c r="D39" s="3" t="s">
        <v>211</v>
      </c>
      <c r="E39" s="3" t="s">
        <v>211</v>
      </c>
      <c r="F39" s="3" t="s">
        <v>211</v>
      </c>
    </row>
    <row r="40" spans="1:6" x14ac:dyDescent="0.45">
      <c r="A40" s="12" t="s">
        <v>18</v>
      </c>
      <c r="B40" s="42">
        <v>46267</v>
      </c>
      <c r="C40" s="12" t="s">
        <v>268</v>
      </c>
      <c r="D40" s="3" t="s">
        <v>211</v>
      </c>
      <c r="E40" s="3" t="s">
        <v>211</v>
      </c>
      <c r="F40" s="3" t="s">
        <v>211</v>
      </c>
    </row>
    <row r="41" spans="1:6" x14ac:dyDescent="0.45">
      <c r="A41" s="12" t="s">
        <v>18</v>
      </c>
      <c r="B41" s="42">
        <v>46268</v>
      </c>
      <c r="C41" s="12" t="s">
        <v>269</v>
      </c>
      <c r="D41" s="3" t="s">
        <v>211</v>
      </c>
      <c r="E41" s="3" t="s">
        <v>211</v>
      </c>
      <c r="F41" s="3" t="s">
        <v>211</v>
      </c>
    </row>
    <row r="42" spans="1:6" x14ac:dyDescent="0.45">
      <c r="A42" s="12" t="s">
        <v>18</v>
      </c>
      <c r="B42" s="42">
        <v>46269</v>
      </c>
      <c r="C42" s="12" t="s">
        <v>270</v>
      </c>
      <c r="D42" s="3" t="s">
        <v>211</v>
      </c>
      <c r="E42" s="3" t="s">
        <v>211</v>
      </c>
      <c r="F42" s="3" t="s">
        <v>211</v>
      </c>
    </row>
    <row r="43" spans="1:6" x14ac:dyDescent="0.45">
      <c r="A43" s="12" t="s">
        <v>18</v>
      </c>
      <c r="B43" s="42">
        <v>46270</v>
      </c>
      <c r="C43" s="12" t="s">
        <v>271</v>
      </c>
      <c r="D43" s="3" t="s">
        <v>211</v>
      </c>
      <c r="E43" s="3"/>
      <c r="F43" s="3"/>
    </row>
    <row r="44" spans="1:6" x14ac:dyDescent="0.45">
      <c r="A44" s="12" t="s">
        <v>18</v>
      </c>
      <c r="B44" s="42">
        <v>46271</v>
      </c>
      <c r="C44" s="12" t="s">
        <v>272</v>
      </c>
      <c r="D44" s="3"/>
      <c r="E44" s="3"/>
      <c r="F44" s="3"/>
    </row>
    <row r="45" spans="1:6" x14ac:dyDescent="0.45">
      <c r="A45" s="12" t="s">
        <v>18</v>
      </c>
      <c r="B45" s="42">
        <v>46272</v>
      </c>
      <c r="C45" s="12" t="s">
        <v>266</v>
      </c>
      <c r="D45" s="3" t="s">
        <v>211</v>
      </c>
      <c r="E45" s="3" t="s">
        <v>211</v>
      </c>
      <c r="F45" s="3" t="s">
        <v>211</v>
      </c>
    </row>
    <row r="46" spans="1:6" x14ac:dyDescent="0.45">
      <c r="A46" s="12" t="s">
        <v>18</v>
      </c>
      <c r="B46" s="42">
        <v>46273</v>
      </c>
      <c r="C46" s="12" t="s">
        <v>267</v>
      </c>
      <c r="D46" s="3" t="s">
        <v>211</v>
      </c>
      <c r="E46" s="3" t="s">
        <v>211</v>
      </c>
      <c r="F46" s="3" t="s">
        <v>211</v>
      </c>
    </row>
    <row r="47" spans="1:6" x14ac:dyDescent="0.45">
      <c r="A47" s="12" t="s">
        <v>18</v>
      </c>
      <c r="B47" s="42">
        <v>46274</v>
      </c>
      <c r="C47" s="12" t="s">
        <v>268</v>
      </c>
      <c r="D47" s="3" t="s">
        <v>211</v>
      </c>
      <c r="E47" s="3" t="s">
        <v>211</v>
      </c>
      <c r="F47" s="3" t="s">
        <v>211</v>
      </c>
    </row>
    <row r="48" spans="1:6" x14ac:dyDescent="0.45">
      <c r="A48" s="12" t="s">
        <v>18</v>
      </c>
      <c r="B48" s="42">
        <v>46275</v>
      </c>
      <c r="C48" s="12" t="s">
        <v>269</v>
      </c>
      <c r="D48" s="3" t="s">
        <v>211</v>
      </c>
      <c r="E48" s="3" t="s">
        <v>211</v>
      </c>
      <c r="F48" s="3" t="s">
        <v>211</v>
      </c>
    </row>
    <row r="49" spans="1:6" x14ac:dyDescent="0.45">
      <c r="A49" s="12" t="s">
        <v>18</v>
      </c>
      <c r="B49" s="42">
        <v>46276</v>
      </c>
      <c r="C49" s="12" t="s">
        <v>270</v>
      </c>
      <c r="D49" s="3" t="s">
        <v>211</v>
      </c>
      <c r="E49" s="3" t="s">
        <v>211</v>
      </c>
      <c r="F49" s="3" t="s">
        <v>211</v>
      </c>
    </row>
    <row r="50" spans="1:6" x14ac:dyDescent="0.45">
      <c r="A50" s="12" t="s">
        <v>18</v>
      </c>
      <c r="B50" s="42">
        <v>46277</v>
      </c>
      <c r="C50" s="12" t="s">
        <v>271</v>
      </c>
      <c r="D50" s="3" t="s">
        <v>211</v>
      </c>
      <c r="E50" s="3"/>
      <c r="F50" s="3"/>
    </row>
    <row r="51" spans="1:6" x14ac:dyDescent="0.45">
      <c r="A51" s="12" t="s">
        <v>18</v>
      </c>
      <c r="B51" s="42">
        <v>46278</v>
      </c>
      <c r="C51" s="12" t="s">
        <v>272</v>
      </c>
      <c r="D51" s="3"/>
      <c r="E51" s="3"/>
      <c r="F51" s="3"/>
    </row>
    <row r="52" spans="1:6" x14ac:dyDescent="0.45">
      <c r="A52" s="12" t="s">
        <v>18</v>
      </c>
      <c r="B52" s="42">
        <v>46279</v>
      </c>
      <c r="C52" s="12" t="s">
        <v>266</v>
      </c>
      <c r="D52" s="3" t="s">
        <v>211</v>
      </c>
      <c r="E52" s="3" t="s">
        <v>211</v>
      </c>
      <c r="F52" s="3" t="s">
        <v>211</v>
      </c>
    </row>
    <row r="53" spans="1:6" x14ac:dyDescent="0.45">
      <c r="A53" s="12" t="s">
        <v>18</v>
      </c>
      <c r="B53" s="42">
        <v>46280</v>
      </c>
      <c r="C53" s="12" t="s">
        <v>267</v>
      </c>
      <c r="D53" s="3" t="s">
        <v>211</v>
      </c>
      <c r="E53" s="3" t="s">
        <v>211</v>
      </c>
      <c r="F53" s="3" t="s">
        <v>211</v>
      </c>
    </row>
    <row r="54" spans="1:6" x14ac:dyDescent="0.45">
      <c r="A54" s="12" t="s">
        <v>18</v>
      </c>
      <c r="B54" s="42">
        <v>46281</v>
      </c>
      <c r="C54" s="12" t="s">
        <v>268</v>
      </c>
      <c r="D54" s="3" t="s">
        <v>211</v>
      </c>
      <c r="E54" s="3" t="s">
        <v>211</v>
      </c>
      <c r="F54" s="3" t="s">
        <v>211</v>
      </c>
    </row>
  </sheetData>
  <mergeCells count="1">
    <mergeCell ref="A1:F1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>
      <pane ySplit="1" topLeftCell="A2" activePane="bottomLeft" state="frozen"/>
      <selection pane="bottomLeft" activeCell="D21" sqref="D21"/>
    </sheetView>
  </sheetViews>
  <sheetFormatPr defaultColWidth="8.6640625" defaultRowHeight="14.25" x14ac:dyDescent="0.45"/>
  <cols>
    <col min="1" max="2" width="20" customWidth="1"/>
    <col min="3" max="3" width="8" customWidth="1"/>
    <col min="4" max="4" width="43.19921875" customWidth="1"/>
    <col min="5" max="5" width="15.3984375" bestFit="1" customWidth="1"/>
    <col min="6" max="6" width="8.86328125" style="21" bestFit="1" customWidth="1"/>
    <col min="7" max="7" width="16.59765625" style="21" bestFit="1" customWidth="1"/>
    <col min="8" max="8" width="52" customWidth="1"/>
  </cols>
  <sheetData>
    <row r="1" spans="1:8" ht="21.75" customHeight="1" x14ac:dyDescent="0.45">
      <c r="A1" s="48" t="s">
        <v>20</v>
      </c>
      <c r="B1" s="47"/>
      <c r="C1" s="47"/>
      <c r="D1" s="47"/>
      <c r="E1" s="47"/>
      <c r="F1" s="49"/>
      <c r="G1" s="49"/>
      <c r="H1" s="47"/>
    </row>
    <row r="2" spans="1:8" ht="15" customHeight="1" x14ac:dyDescent="0.45">
      <c r="A2" s="1" t="s">
        <v>21</v>
      </c>
      <c r="B2" s="1" t="s">
        <v>22</v>
      </c>
      <c r="C2" s="1" t="s">
        <v>3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</row>
    <row r="3" spans="1:8" ht="23.25" customHeight="1" x14ac:dyDescent="0.45">
      <c r="A3" s="22" t="s">
        <v>8</v>
      </c>
      <c r="B3" s="26" t="s">
        <v>28</v>
      </c>
      <c r="C3" s="5" t="s">
        <v>9</v>
      </c>
      <c r="D3" s="5" t="s">
        <v>29</v>
      </c>
      <c r="E3" s="3">
        <v>10</v>
      </c>
      <c r="F3" s="6">
        <v>0</v>
      </c>
      <c r="G3" s="6" t="s">
        <v>30</v>
      </c>
      <c r="H3" s="13" t="s">
        <v>31</v>
      </c>
    </row>
    <row r="4" spans="1:8" ht="15" customHeight="1" x14ac:dyDescent="0.45">
      <c r="A4" s="22" t="s">
        <v>10</v>
      </c>
      <c r="B4" s="22" t="s">
        <v>14</v>
      </c>
      <c r="C4" s="5" t="s">
        <v>9</v>
      </c>
      <c r="D4" s="5" t="s">
        <v>32</v>
      </c>
      <c r="E4" s="3">
        <v>10</v>
      </c>
      <c r="F4" s="6">
        <v>0</v>
      </c>
      <c r="G4" s="6" t="s">
        <v>30</v>
      </c>
      <c r="H4" s="13"/>
    </row>
    <row r="5" spans="1:8" ht="15" customHeight="1" x14ac:dyDescent="0.45">
      <c r="A5" s="22" t="s">
        <v>13</v>
      </c>
      <c r="B5" s="22" t="s">
        <v>14</v>
      </c>
      <c r="C5" s="5" t="s">
        <v>9</v>
      </c>
      <c r="D5" s="5" t="s">
        <v>33</v>
      </c>
      <c r="E5" s="3">
        <v>10</v>
      </c>
      <c r="F5" s="6">
        <v>0</v>
      </c>
      <c r="G5" s="6" t="s">
        <v>30</v>
      </c>
      <c r="H5" s="13"/>
    </row>
    <row r="6" spans="1:8" ht="15" customHeight="1" x14ac:dyDescent="0.45">
      <c r="A6" s="22" t="s">
        <v>14</v>
      </c>
      <c r="B6" s="22" t="s">
        <v>15</v>
      </c>
      <c r="C6" s="5" t="s">
        <v>9</v>
      </c>
      <c r="D6" s="5" t="s">
        <v>34</v>
      </c>
      <c r="E6" s="3">
        <v>10</v>
      </c>
      <c r="F6" s="6">
        <v>0</v>
      </c>
      <c r="G6" s="6" t="s">
        <v>30</v>
      </c>
      <c r="H6" s="13"/>
    </row>
    <row r="7" spans="1:8" ht="15" customHeight="1" x14ac:dyDescent="0.45">
      <c r="A7" s="22" t="s">
        <v>15</v>
      </c>
      <c r="B7" s="22" t="s">
        <v>16</v>
      </c>
      <c r="C7" s="5" t="s">
        <v>9</v>
      </c>
      <c r="D7" s="5" t="s">
        <v>35</v>
      </c>
      <c r="E7" s="3">
        <v>10</v>
      </c>
      <c r="F7" s="6">
        <v>0</v>
      </c>
      <c r="G7" s="6" t="s">
        <v>30</v>
      </c>
      <c r="H7" s="13"/>
    </row>
    <row r="8" spans="1:8" ht="15" customHeight="1" x14ac:dyDescent="0.45">
      <c r="A8" s="9" t="s">
        <v>8</v>
      </c>
      <c r="B8" s="9" t="s">
        <v>36</v>
      </c>
      <c r="C8" s="9" t="s">
        <v>17</v>
      </c>
      <c r="D8" s="9" t="s">
        <v>37</v>
      </c>
      <c r="E8" s="3">
        <v>10</v>
      </c>
      <c r="F8" s="10">
        <v>0</v>
      </c>
      <c r="G8" s="10" t="s">
        <v>30</v>
      </c>
      <c r="H8" s="14"/>
    </row>
    <row r="9" spans="1:8" ht="15" customHeight="1" x14ac:dyDescent="0.45">
      <c r="A9" s="9" t="s">
        <v>10</v>
      </c>
      <c r="B9" s="9" t="s">
        <v>14</v>
      </c>
      <c r="C9" s="9" t="s">
        <v>17</v>
      </c>
      <c r="D9" s="9" t="s">
        <v>38</v>
      </c>
      <c r="E9" s="3">
        <v>10</v>
      </c>
      <c r="F9" s="10">
        <v>0</v>
      </c>
      <c r="G9" s="10" t="s">
        <v>30</v>
      </c>
      <c r="H9" s="14"/>
    </row>
    <row r="10" spans="1:8" ht="15" customHeight="1" x14ac:dyDescent="0.45">
      <c r="A10" s="9" t="s">
        <v>14</v>
      </c>
      <c r="B10" s="9" t="s">
        <v>15</v>
      </c>
      <c r="C10" s="9" t="s">
        <v>17</v>
      </c>
      <c r="D10" s="9" t="s">
        <v>39</v>
      </c>
      <c r="E10" s="3">
        <v>10</v>
      </c>
      <c r="F10" s="10">
        <v>0</v>
      </c>
      <c r="G10" s="10" t="s">
        <v>30</v>
      </c>
      <c r="H10" s="14"/>
    </row>
    <row r="11" spans="1:8" ht="15" customHeight="1" x14ac:dyDescent="0.45">
      <c r="A11" s="9" t="s">
        <v>15</v>
      </c>
      <c r="B11" s="9" t="s">
        <v>16</v>
      </c>
      <c r="C11" s="9" t="s">
        <v>17</v>
      </c>
      <c r="D11" s="9" t="s">
        <v>40</v>
      </c>
      <c r="E11" s="3">
        <v>10</v>
      </c>
      <c r="F11" s="10">
        <v>0</v>
      </c>
      <c r="G11" s="10" t="s">
        <v>30</v>
      </c>
      <c r="H11" s="14"/>
    </row>
    <row r="12" spans="1:8" ht="15" customHeight="1" x14ac:dyDescent="0.45">
      <c r="A12" s="11" t="s">
        <v>8</v>
      </c>
      <c r="B12" s="11" t="s">
        <v>14</v>
      </c>
      <c r="C12" s="11" t="s">
        <v>18</v>
      </c>
      <c r="D12" s="11" t="s">
        <v>41</v>
      </c>
      <c r="E12" s="3">
        <v>10</v>
      </c>
      <c r="F12" s="12">
        <v>0</v>
      </c>
      <c r="G12" s="12" t="s">
        <v>30</v>
      </c>
      <c r="H12" s="15"/>
    </row>
    <row r="13" spans="1:8" ht="15" customHeight="1" x14ac:dyDescent="0.45">
      <c r="A13" s="11" t="s">
        <v>14</v>
      </c>
      <c r="B13" s="11" t="s">
        <v>15</v>
      </c>
      <c r="C13" s="11" t="s">
        <v>18</v>
      </c>
      <c r="D13" s="11" t="s">
        <v>42</v>
      </c>
      <c r="E13" s="3">
        <v>10</v>
      </c>
      <c r="F13" s="12">
        <v>0</v>
      </c>
      <c r="G13" s="12" t="s">
        <v>30</v>
      </c>
      <c r="H13" s="15"/>
    </row>
    <row r="14" spans="1:8" ht="15" customHeight="1" x14ac:dyDescent="0.45">
      <c r="A14" s="11" t="s">
        <v>15</v>
      </c>
      <c r="B14" s="11" t="s">
        <v>16</v>
      </c>
      <c r="C14" s="11" t="s">
        <v>18</v>
      </c>
      <c r="D14" s="11" t="s">
        <v>43</v>
      </c>
      <c r="E14" s="3">
        <v>10</v>
      </c>
      <c r="F14" s="12">
        <v>0</v>
      </c>
      <c r="G14" s="12" t="s">
        <v>30</v>
      </c>
      <c r="H14" s="15"/>
    </row>
    <row r="16" spans="1:8" ht="15" customHeight="1" x14ac:dyDescent="0.45">
      <c r="A16" s="46" t="s">
        <v>44</v>
      </c>
      <c r="B16" s="47"/>
      <c r="C16" s="47"/>
      <c r="D16" s="47"/>
      <c r="E16" s="47"/>
      <c r="F16" s="49"/>
      <c r="G16" s="49"/>
      <c r="H16" s="47"/>
    </row>
  </sheetData>
  <mergeCells count="2">
    <mergeCell ref="A16:H16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topLeftCell="A7" workbookViewId="0">
      <selection activeCell="J31" sqref="J31"/>
    </sheetView>
  </sheetViews>
  <sheetFormatPr defaultRowHeight="14.25" x14ac:dyDescent="0.45"/>
  <cols>
    <col min="1" max="1" width="15.6640625" customWidth="1"/>
    <col min="2" max="2" width="13.3984375" customWidth="1"/>
    <col min="3" max="8" width="15.6640625" customWidth="1"/>
    <col min="9" max="11" width="14.6640625" customWidth="1"/>
  </cols>
  <sheetData>
    <row r="1" spans="1:12" ht="26.25" customHeight="1" x14ac:dyDescent="0.45">
      <c r="A1" s="24" t="s">
        <v>45</v>
      </c>
      <c r="B1" s="24" t="s">
        <v>46</v>
      </c>
      <c r="C1" s="24" t="s">
        <v>2</v>
      </c>
      <c r="D1" s="24" t="s">
        <v>47</v>
      </c>
      <c r="E1" s="24" t="s">
        <v>48</v>
      </c>
      <c r="F1" s="1" t="s">
        <v>49</v>
      </c>
      <c r="G1" s="24" t="s">
        <v>50</v>
      </c>
      <c r="H1" s="24" t="s">
        <v>51</v>
      </c>
      <c r="I1" s="24" t="s">
        <v>52</v>
      </c>
      <c r="J1" s="24" t="s">
        <v>53</v>
      </c>
      <c r="K1" s="24" t="s">
        <v>54</v>
      </c>
    </row>
    <row r="2" spans="1:12" x14ac:dyDescent="0.45">
      <c r="A2" s="3" t="s">
        <v>55</v>
      </c>
      <c r="B2" s="3" t="s">
        <v>56</v>
      </c>
      <c r="C2" s="3" t="s">
        <v>57</v>
      </c>
      <c r="D2" s="3" t="s">
        <v>58</v>
      </c>
      <c r="E2" s="3" t="s">
        <v>8</v>
      </c>
      <c r="F2" s="3" t="s">
        <v>59</v>
      </c>
      <c r="G2" s="28">
        <v>1000000</v>
      </c>
      <c r="H2" s="28">
        <v>1000000</v>
      </c>
      <c r="I2" s="28" t="s">
        <v>58</v>
      </c>
      <c r="J2" s="28">
        <v>25</v>
      </c>
      <c r="K2" s="28">
        <v>1000</v>
      </c>
      <c r="L2" t="s">
        <v>60</v>
      </c>
    </row>
    <row r="3" spans="1:12" x14ac:dyDescent="0.45">
      <c r="A3" s="3" t="s">
        <v>55</v>
      </c>
      <c r="B3" s="3" t="s">
        <v>56</v>
      </c>
      <c r="C3" s="3" t="s">
        <v>57</v>
      </c>
      <c r="D3" s="3" t="s">
        <v>58</v>
      </c>
      <c r="E3" s="3" t="s">
        <v>11</v>
      </c>
      <c r="F3" s="3" t="s">
        <v>61</v>
      </c>
      <c r="G3" s="28">
        <v>1000000</v>
      </c>
      <c r="H3" s="28">
        <v>1000000</v>
      </c>
      <c r="I3" s="28" t="s">
        <v>58</v>
      </c>
      <c r="J3" s="28">
        <v>25</v>
      </c>
      <c r="K3" s="28">
        <v>1000</v>
      </c>
      <c r="L3" t="s">
        <v>60</v>
      </c>
    </row>
    <row r="4" spans="1:12" x14ac:dyDescent="0.45">
      <c r="A4" s="3" t="s">
        <v>55</v>
      </c>
      <c r="B4" s="3" t="s">
        <v>56</v>
      </c>
      <c r="C4" s="3" t="s">
        <v>57</v>
      </c>
      <c r="D4" s="3" t="s">
        <v>58</v>
      </c>
      <c r="E4" s="3" t="s">
        <v>12</v>
      </c>
      <c r="F4" s="3" t="s">
        <v>62</v>
      </c>
      <c r="G4" s="28">
        <v>1000000</v>
      </c>
      <c r="H4" s="28">
        <v>1000000</v>
      </c>
      <c r="I4" s="28" t="s">
        <v>58</v>
      </c>
      <c r="J4" s="28">
        <v>25</v>
      </c>
      <c r="K4" s="28">
        <v>1000</v>
      </c>
      <c r="L4" t="s">
        <v>60</v>
      </c>
    </row>
    <row r="5" spans="1:12" x14ac:dyDescent="0.45">
      <c r="A5" s="3" t="s">
        <v>63</v>
      </c>
      <c r="B5" s="3" t="s">
        <v>64</v>
      </c>
      <c r="C5" s="3" t="s">
        <v>11</v>
      </c>
      <c r="D5" s="3" t="s">
        <v>56</v>
      </c>
      <c r="E5" s="3" t="s">
        <v>11</v>
      </c>
      <c r="F5" s="3" t="s">
        <v>61</v>
      </c>
      <c r="G5" s="27">
        <v>200</v>
      </c>
      <c r="H5" s="27">
        <v>0</v>
      </c>
      <c r="I5" s="27">
        <v>50</v>
      </c>
      <c r="J5" s="27">
        <v>25</v>
      </c>
      <c r="K5" s="27">
        <v>6</v>
      </c>
    </row>
    <row r="6" spans="1:12" x14ac:dyDescent="0.45">
      <c r="A6" s="3" t="s">
        <v>65</v>
      </c>
      <c r="B6" s="3" t="s">
        <v>64</v>
      </c>
      <c r="C6" s="3" t="s">
        <v>12</v>
      </c>
      <c r="D6" s="3" t="s">
        <v>58</v>
      </c>
      <c r="E6" s="3" t="s">
        <v>12</v>
      </c>
      <c r="F6" s="3" t="s">
        <v>62</v>
      </c>
      <c r="G6" s="27">
        <v>200</v>
      </c>
      <c r="H6" s="27">
        <v>0</v>
      </c>
      <c r="I6" s="27">
        <v>50</v>
      </c>
      <c r="J6" s="27">
        <v>25</v>
      </c>
      <c r="K6" s="27">
        <v>6</v>
      </c>
    </row>
    <row r="7" spans="1:12" x14ac:dyDescent="0.45">
      <c r="A7" s="3" t="s">
        <v>66</v>
      </c>
      <c r="B7" s="3" t="s">
        <v>56</v>
      </c>
      <c r="C7" s="3" t="s">
        <v>11</v>
      </c>
      <c r="D7" s="3" t="s">
        <v>11</v>
      </c>
      <c r="E7" s="3" t="s">
        <v>8</v>
      </c>
      <c r="F7" s="3" t="s">
        <v>67</v>
      </c>
      <c r="G7" s="27">
        <v>300</v>
      </c>
      <c r="H7" s="27">
        <v>150</v>
      </c>
      <c r="I7" s="27" t="s">
        <v>58</v>
      </c>
      <c r="J7" s="27">
        <v>25</v>
      </c>
      <c r="K7" s="27" t="s">
        <v>58</v>
      </c>
    </row>
    <row r="8" spans="1:12" x14ac:dyDescent="0.45">
      <c r="A8" s="3" t="s">
        <v>68</v>
      </c>
      <c r="B8" s="3" t="s">
        <v>56</v>
      </c>
      <c r="C8" s="3" t="s">
        <v>12</v>
      </c>
      <c r="D8" s="3" t="s">
        <v>12</v>
      </c>
      <c r="E8" s="3" t="s">
        <v>8</v>
      </c>
      <c r="F8" s="3" t="s">
        <v>12</v>
      </c>
      <c r="G8" s="27">
        <v>300</v>
      </c>
      <c r="H8" s="27">
        <v>150</v>
      </c>
      <c r="I8" s="27" t="s">
        <v>58</v>
      </c>
      <c r="J8" s="27">
        <v>25</v>
      </c>
      <c r="K8" s="27" t="s">
        <v>58</v>
      </c>
    </row>
    <row r="9" spans="1:12" x14ac:dyDescent="0.45">
      <c r="A9" s="3" t="s">
        <v>69</v>
      </c>
      <c r="B9" s="3" t="s">
        <v>64</v>
      </c>
      <c r="C9" s="3" t="s">
        <v>9</v>
      </c>
      <c r="D9" s="3" t="s">
        <v>56</v>
      </c>
      <c r="E9" s="3" t="s">
        <v>8</v>
      </c>
      <c r="F9" s="3" t="s">
        <v>11</v>
      </c>
      <c r="G9" s="27">
        <v>200</v>
      </c>
      <c r="H9" s="27">
        <v>0</v>
      </c>
      <c r="I9" s="27">
        <v>50</v>
      </c>
      <c r="J9" s="27">
        <v>25</v>
      </c>
      <c r="K9" s="27">
        <v>6</v>
      </c>
    </row>
    <row r="10" spans="1:12" x14ac:dyDescent="0.45">
      <c r="A10" s="3" t="s">
        <v>69</v>
      </c>
      <c r="B10" s="3" t="s">
        <v>64</v>
      </c>
      <c r="C10" s="3" t="s">
        <v>9</v>
      </c>
      <c r="D10" s="3" t="s">
        <v>56</v>
      </c>
      <c r="E10" s="3" t="s">
        <v>8</v>
      </c>
      <c r="F10" s="3" t="s">
        <v>12</v>
      </c>
      <c r="G10" s="27">
        <v>200</v>
      </c>
      <c r="H10" s="27">
        <v>0</v>
      </c>
      <c r="I10" s="27">
        <v>50</v>
      </c>
      <c r="J10" s="27">
        <v>25</v>
      </c>
      <c r="K10" s="27">
        <v>6</v>
      </c>
    </row>
    <row r="11" spans="1:12" x14ac:dyDescent="0.45">
      <c r="A11" s="3" t="s">
        <v>69</v>
      </c>
      <c r="B11" s="3" t="s">
        <v>64</v>
      </c>
      <c r="C11" s="3" t="s">
        <v>9</v>
      </c>
      <c r="D11" s="3" t="s">
        <v>56</v>
      </c>
      <c r="E11" s="3" t="s">
        <v>8</v>
      </c>
      <c r="F11" s="3" t="s">
        <v>59</v>
      </c>
      <c r="G11" s="27">
        <v>200</v>
      </c>
      <c r="H11" s="27">
        <v>0</v>
      </c>
      <c r="I11" s="27">
        <v>50</v>
      </c>
      <c r="J11" s="27">
        <v>25</v>
      </c>
      <c r="K11" s="27">
        <v>6</v>
      </c>
    </row>
    <row r="12" spans="1:12" x14ac:dyDescent="0.45">
      <c r="A12" s="3" t="s">
        <v>70</v>
      </c>
      <c r="B12" s="3" t="s">
        <v>64</v>
      </c>
      <c r="C12" s="3" t="s">
        <v>17</v>
      </c>
      <c r="D12" s="3" t="s">
        <v>56</v>
      </c>
      <c r="E12" s="3" t="s">
        <v>8</v>
      </c>
      <c r="F12" s="3" t="s">
        <v>59</v>
      </c>
      <c r="G12" s="27">
        <v>200</v>
      </c>
      <c r="H12" s="27">
        <v>0</v>
      </c>
      <c r="I12" s="27">
        <v>50</v>
      </c>
      <c r="J12" s="27">
        <v>25</v>
      </c>
      <c r="K12" s="27">
        <v>6</v>
      </c>
    </row>
    <row r="13" spans="1:12" x14ac:dyDescent="0.45">
      <c r="A13" s="3" t="s">
        <v>71</v>
      </c>
      <c r="B13" s="3" t="s">
        <v>64</v>
      </c>
      <c r="C13" s="3" t="s">
        <v>18</v>
      </c>
      <c r="D13" s="3" t="s">
        <v>56</v>
      </c>
      <c r="E13" s="3" t="s">
        <v>8</v>
      </c>
      <c r="F13" s="3" t="s">
        <v>59</v>
      </c>
      <c r="G13" s="27">
        <v>200</v>
      </c>
      <c r="H13" s="27">
        <v>0</v>
      </c>
      <c r="I13" s="27">
        <v>50</v>
      </c>
      <c r="J13" s="27">
        <v>25</v>
      </c>
      <c r="K13" s="27">
        <v>6</v>
      </c>
    </row>
    <row r="14" spans="1:12" x14ac:dyDescent="0.45">
      <c r="A14" s="3" t="s">
        <v>72</v>
      </c>
      <c r="B14" s="3" t="s">
        <v>56</v>
      </c>
      <c r="C14" s="3" t="s">
        <v>57</v>
      </c>
      <c r="D14" s="3" t="s">
        <v>73</v>
      </c>
      <c r="E14" s="3" t="s">
        <v>58</v>
      </c>
      <c r="F14" s="3" t="s">
        <v>74</v>
      </c>
      <c r="G14" s="28">
        <v>1000000</v>
      </c>
      <c r="H14" s="28">
        <v>0</v>
      </c>
      <c r="I14" s="28" t="s">
        <v>58</v>
      </c>
      <c r="J14" s="28">
        <v>50</v>
      </c>
      <c r="K14" s="28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zoomScale="115" zoomScaleNormal="115" workbookViewId="0">
      <pane ySplit="1" topLeftCell="A2" activePane="bottomLeft" state="frozen"/>
      <selection pane="bottomLeft" activeCell="A6" sqref="A6"/>
    </sheetView>
  </sheetViews>
  <sheetFormatPr defaultColWidth="8.6640625" defaultRowHeight="14.25" x14ac:dyDescent="0.45"/>
  <cols>
    <col min="1" max="1" width="8" customWidth="1"/>
    <col min="2" max="2" width="12" customWidth="1"/>
    <col min="3" max="3" width="14" customWidth="1"/>
    <col min="4" max="5" width="12" customWidth="1"/>
    <col min="6" max="6" width="18.265625" customWidth="1"/>
    <col min="7" max="7" width="18" customWidth="1"/>
  </cols>
  <sheetData>
    <row r="1" spans="1:8" ht="21.75" customHeight="1" x14ac:dyDescent="0.45">
      <c r="A1" s="48"/>
      <c r="B1" s="47"/>
      <c r="C1" s="47"/>
      <c r="D1" s="47"/>
      <c r="E1" s="47"/>
      <c r="F1" s="47"/>
      <c r="G1" s="47"/>
    </row>
    <row r="2" spans="1:8" ht="15" customHeight="1" x14ac:dyDescent="0.45">
      <c r="A2" s="1" t="s">
        <v>3</v>
      </c>
      <c r="B2" s="1" t="s">
        <v>75</v>
      </c>
      <c r="C2" s="1" t="s">
        <v>76</v>
      </c>
      <c r="D2" s="1" t="s">
        <v>77</v>
      </c>
      <c r="E2" s="1" t="s">
        <v>78</v>
      </c>
      <c r="F2" s="1" t="s">
        <v>79</v>
      </c>
      <c r="G2" s="1" t="s">
        <v>80</v>
      </c>
    </row>
    <row r="3" spans="1:8" ht="15" customHeight="1" x14ac:dyDescent="0.45">
      <c r="A3" s="6" t="s">
        <v>9</v>
      </c>
      <c r="B3" s="23">
        <v>0.996</v>
      </c>
      <c r="C3" s="23">
        <v>0</v>
      </c>
      <c r="D3" s="23">
        <v>4.0000000000000001E-3</v>
      </c>
      <c r="E3" s="8" t="str">
        <f>IF(ABS(B3+C3+D3-1)&lt;0.0001,"✓ OK","⚠ ERROR")</f>
        <v>✓ OK</v>
      </c>
      <c r="F3" s="16">
        <v>1</v>
      </c>
      <c r="G3" s="3"/>
    </row>
    <row r="4" spans="1:8" ht="15" customHeight="1" x14ac:dyDescent="0.45">
      <c r="A4" s="10" t="s">
        <v>17</v>
      </c>
      <c r="B4" s="23">
        <v>0.996</v>
      </c>
      <c r="C4" s="23">
        <v>0</v>
      </c>
      <c r="D4" s="23">
        <v>4.0000000000000001E-3</v>
      </c>
      <c r="E4" s="8" t="str">
        <f>IF(ABS(B4+C4+D4-1)&lt;0.0001,"✓ OK","⚠ ERROR")</f>
        <v>✓ OK</v>
      </c>
      <c r="F4" s="16">
        <v>1</v>
      </c>
      <c r="G4" s="3"/>
    </row>
    <row r="5" spans="1:8" ht="15" customHeight="1" x14ac:dyDescent="0.45">
      <c r="A5" s="12" t="s">
        <v>18</v>
      </c>
      <c r="B5" s="23">
        <v>0.99399999999999999</v>
      </c>
      <c r="C5" s="23">
        <v>0</v>
      </c>
      <c r="D5" s="23">
        <v>6.0000000000000001E-3</v>
      </c>
      <c r="E5" s="8" t="str">
        <f>IF(ABS(B5+C5+D5-1)&lt;0.0001,"✓ OK","⚠ ERROR")</f>
        <v>✓ OK</v>
      </c>
      <c r="F5" s="16">
        <v>1</v>
      </c>
      <c r="G5" s="3"/>
    </row>
    <row r="7" spans="1:8" x14ac:dyDescent="0.45">
      <c r="A7" s="46" t="s">
        <v>81</v>
      </c>
      <c r="B7" s="47"/>
      <c r="C7" s="47"/>
      <c r="D7" s="47"/>
      <c r="E7" s="47"/>
      <c r="F7" s="47"/>
      <c r="G7" s="47"/>
      <c r="H7" s="47"/>
    </row>
  </sheetData>
  <mergeCells count="2">
    <mergeCell ref="A7:H7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07B7-CFAF-4F14-AC94-4260159A2BE9}">
  <dimension ref="A1:G19"/>
  <sheetViews>
    <sheetView workbookViewId="0">
      <selection activeCell="E14" sqref="E14:G15"/>
    </sheetView>
  </sheetViews>
  <sheetFormatPr defaultRowHeight="14.25" x14ac:dyDescent="0.45"/>
  <cols>
    <col min="2" max="2" width="11" style="31" bestFit="1" customWidth="1"/>
    <col min="3" max="3" width="10.53125" bestFit="1" customWidth="1"/>
    <col min="5" max="5" width="11.46484375" bestFit="1" customWidth="1"/>
    <col min="6" max="6" width="9.796875" bestFit="1" customWidth="1"/>
  </cols>
  <sheetData>
    <row r="1" spans="1:7" x14ac:dyDescent="0.45">
      <c r="A1" s="29" t="s">
        <v>3</v>
      </c>
      <c r="B1" s="32" t="s">
        <v>225</v>
      </c>
      <c r="C1" s="29" t="s">
        <v>46</v>
      </c>
      <c r="D1" s="29" t="s">
        <v>224</v>
      </c>
      <c r="E1" s="29" t="s">
        <v>145</v>
      </c>
      <c r="F1" s="29" t="s">
        <v>227</v>
      </c>
      <c r="G1" s="29" t="s">
        <v>205</v>
      </c>
    </row>
    <row r="2" spans="1:7" x14ac:dyDescent="0.45">
      <c r="A2" t="s">
        <v>9</v>
      </c>
      <c r="B2" s="31">
        <v>1</v>
      </c>
      <c r="C2" t="s">
        <v>223</v>
      </c>
      <c r="D2">
        <v>10</v>
      </c>
      <c r="E2" t="s">
        <v>191</v>
      </c>
      <c r="F2">
        <v>10</v>
      </c>
      <c r="G2">
        <v>0</v>
      </c>
    </row>
    <row r="3" spans="1:7" x14ac:dyDescent="0.45">
      <c r="A3" t="s">
        <v>9</v>
      </c>
      <c r="B3" s="31">
        <v>2</v>
      </c>
      <c r="C3" t="s">
        <v>223</v>
      </c>
      <c r="D3">
        <v>10</v>
      </c>
      <c r="E3" t="s">
        <v>191</v>
      </c>
      <c r="F3">
        <v>9</v>
      </c>
      <c r="G3">
        <v>0</v>
      </c>
    </row>
    <row r="4" spans="1:7" x14ac:dyDescent="0.45">
      <c r="A4" t="s">
        <v>9</v>
      </c>
      <c r="B4" s="31">
        <v>3</v>
      </c>
      <c r="C4" t="s">
        <v>223</v>
      </c>
      <c r="D4">
        <v>12</v>
      </c>
      <c r="E4" t="s">
        <v>181</v>
      </c>
      <c r="F4">
        <v>12</v>
      </c>
      <c r="G4">
        <v>0</v>
      </c>
    </row>
    <row r="5" spans="1:7" x14ac:dyDescent="0.45">
      <c r="A5" t="s">
        <v>9</v>
      </c>
      <c r="B5" s="31">
        <v>4</v>
      </c>
      <c r="C5" t="s">
        <v>223</v>
      </c>
      <c r="D5">
        <v>10</v>
      </c>
      <c r="E5" t="s">
        <v>169</v>
      </c>
      <c r="F5">
        <v>10</v>
      </c>
      <c r="G5">
        <v>0</v>
      </c>
    </row>
    <row r="6" spans="1:7" x14ac:dyDescent="0.45">
      <c r="A6" t="s">
        <v>9</v>
      </c>
      <c r="B6" s="31">
        <v>5</v>
      </c>
      <c r="C6" t="s">
        <v>223</v>
      </c>
      <c r="D6">
        <v>10</v>
      </c>
      <c r="E6" t="s">
        <v>169</v>
      </c>
      <c r="F6">
        <v>9</v>
      </c>
      <c r="G6">
        <v>0</v>
      </c>
    </row>
    <row r="7" spans="1:7" x14ac:dyDescent="0.45">
      <c r="A7" t="s">
        <v>9</v>
      </c>
      <c r="B7" s="31">
        <v>6</v>
      </c>
      <c r="C7" t="s">
        <v>226</v>
      </c>
      <c r="D7">
        <v>10</v>
      </c>
      <c r="F7">
        <v>0</v>
      </c>
      <c r="G7">
        <v>0</v>
      </c>
    </row>
    <row r="8" spans="1:7" x14ac:dyDescent="0.45">
      <c r="A8" t="s">
        <v>9</v>
      </c>
      <c r="B8" s="31">
        <v>7</v>
      </c>
      <c r="C8" t="s">
        <v>226</v>
      </c>
      <c r="D8">
        <v>10</v>
      </c>
      <c r="F8">
        <v>0</v>
      </c>
      <c r="G8">
        <v>0</v>
      </c>
    </row>
    <row r="9" spans="1:7" x14ac:dyDescent="0.45">
      <c r="A9" t="s">
        <v>17</v>
      </c>
      <c r="B9" s="31">
        <v>1</v>
      </c>
      <c r="C9" t="s">
        <v>223</v>
      </c>
      <c r="D9">
        <v>10</v>
      </c>
      <c r="E9" t="s">
        <v>191</v>
      </c>
      <c r="F9">
        <v>10</v>
      </c>
      <c r="G9">
        <v>0</v>
      </c>
    </row>
    <row r="10" spans="1:7" x14ac:dyDescent="0.45">
      <c r="A10" t="s">
        <v>17</v>
      </c>
      <c r="B10" s="31">
        <v>2</v>
      </c>
      <c r="C10" t="s">
        <v>223</v>
      </c>
      <c r="D10">
        <v>10</v>
      </c>
      <c r="E10" t="s">
        <v>191</v>
      </c>
      <c r="F10">
        <v>9</v>
      </c>
      <c r="G10">
        <v>0</v>
      </c>
    </row>
    <row r="11" spans="1:7" x14ac:dyDescent="0.45">
      <c r="A11" t="s">
        <v>17</v>
      </c>
      <c r="B11" s="31">
        <v>3</v>
      </c>
      <c r="C11" t="s">
        <v>223</v>
      </c>
      <c r="D11">
        <v>12</v>
      </c>
      <c r="E11" t="s">
        <v>181</v>
      </c>
      <c r="F11">
        <v>12</v>
      </c>
      <c r="G11">
        <v>0</v>
      </c>
    </row>
    <row r="12" spans="1:7" x14ac:dyDescent="0.45">
      <c r="A12" t="s">
        <v>17</v>
      </c>
      <c r="B12" s="31">
        <v>4</v>
      </c>
      <c r="C12" t="s">
        <v>226</v>
      </c>
      <c r="D12">
        <v>10</v>
      </c>
      <c r="F12">
        <v>0</v>
      </c>
      <c r="G12">
        <v>0</v>
      </c>
    </row>
    <row r="13" spans="1:7" x14ac:dyDescent="0.45">
      <c r="A13" t="s">
        <v>17</v>
      </c>
      <c r="B13" s="31">
        <v>5</v>
      </c>
      <c r="C13" t="s">
        <v>226</v>
      </c>
      <c r="D13">
        <v>10</v>
      </c>
      <c r="F13">
        <v>0</v>
      </c>
      <c r="G13">
        <v>0</v>
      </c>
    </row>
    <row r="14" spans="1:7" x14ac:dyDescent="0.45">
      <c r="A14" t="s">
        <v>18</v>
      </c>
      <c r="B14" s="31">
        <v>1</v>
      </c>
      <c r="C14" t="s">
        <v>223</v>
      </c>
      <c r="D14">
        <v>10</v>
      </c>
      <c r="E14" t="s">
        <v>161</v>
      </c>
      <c r="F14">
        <v>10</v>
      </c>
      <c r="G14">
        <v>0</v>
      </c>
    </row>
    <row r="15" spans="1:7" x14ac:dyDescent="0.45">
      <c r="A15" t="s">
        <v>18</v>
      </c>
      <c r="B15" s="31">
        <v>2</v>
      </c>
      <c r="C15" t="s">
        <v>223</v>
      </c>
      <c r="D15">
        <v>10</v>
      </c>
      <c r="E15" t="s">
        <v>161</v>
      </c>
      <c r="F15">
        <v>4</v>
      </c>
      <c r="G15">
        <v>0</v>
      </c>
    </row>
    <row r="16" spans="1:7" x14ac:dyDescent="0.45">
      <c r="A16" t="s">
        <v>18</v>
      </c>
      <c r="B16" s="31">
        <v>3</v>
      </c>
      <c r="C16" t="s">
        <v>223</v>
      </c>
      <c r="D16">
        <v>12</v>
      </c>
      <c r="E16" t="s">
        <v>196</v>
      </c>
      <c r="F16">
        <v>12</v>
      </c>
      <c r="G16">
        <v>0</v>
      </c>
    </row>
    <row r="17" spans="1:7" x14ac:dyDescent="0.45">
      <c r="A17" t="s">
        <v>18</v>
      </c>
      <c r="B17" s="31">
        <v>4</v>
      </c>
      <c r="C17" t="s">
        <v>223</v>
      </c>
      <c r="D17">
        <v>12</v>
      </c>
      <c r="E17" t="s">
        <v>196</v>
      </c>
      <c r="F17">
        <v>12</v>
      </c>
      <c r="G17">
        <v>0</v>
      </c>
    </row>
    <row r="18" spans="1:7" x14ac:dyDescent="0.45">
      <c r="A18" t="s">
        <v>18</v>
      </c>
      <c r="B18" s="31">
        <v>5</v>
      </c>
      <c r="C18" t="s">
        <v>226</v>
      </c>
      <c r="D18">
        <v>10</v>
      </c>
      <c r="F18">
        <v>10</v>
      </c>
      <c r="G18">
        <v>0</v>
      </c>
    </row>
    <row r="19" spans="1:7" x14ac:dyDescent="0.45">
      <c r="A19" t="s">
        <v>18</v>
      </c>
      <c r="B19" s="31">
        <v>6</v>
      </c>
      <c r="C19" t="s">
        <v>226</v>
      </c>
      <c r="D19">
        <v>10</v>
      </c>
      <c r="F19">
        <v>10</v>
      </c>
      <c r="G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zoomScale="145" zoomScaleNormal="145" workbookViewId="0">
      <pane ySplit="1" topLeftCell="A2" activePane="bottomLeft" state="frozen"/>
      <selection pane="bottomLeft" activeCell="A2" sqref="A2"/>
    </sheetView>
  </sheetViews>
  <sheetFormatPr defaultColWidth="8.6640625" defaultRowHeight="14.25" x14ac:dyDescent="0.45"/>
  <cols>
    <col min="1" max="1" width="8" customWidth="1"/>
    <col min="2" max="2" width="28" customWidth="1"/>
    <col min="3" max="3" width="35" customWidth="1"/>
  </cols>
  <sheetData>
    <row r="1" spans="1:3" ht="21.75" customHeight="1" x14ac:dyDescent="0.45">
      <c r="A1" s="48" t="s">
        <v>82</v>
      </c>
      <c r="B1" s="47"/>
      <c r="C1" s="47"/>
    </row>
    <row r="2" spans="1:3" ht="15" customHeight="1" x14ac:dyDescent="0.45">
      <c r="A2" s="1" t="s">
        <v>3</v>
      </c>
      <c r="B2" s="1" t="s">
        <v>83</v>
      </c>
      <c r="C2" s="1" t="s">
        <v>27</v>
      </c>
    </row>
    <row r="3" spans="1:3" ht="15" customHeight="1" x14ac:dyDescent="0.45">
      <c r="A3" s="6" t="s">
        <v>9</v>
      </c>
      <c r="B3" s="3" t="s">
        <v>84</v>
      </c>
      <c r="C3" s="13"/>
    </row>
    <row r="4" spans="1:3" ht="15" customHeight="1" x14ac:dyDescent="0.45">
      <c r="A4" s="6" t="s">
        <v>17</v>
      </c>
      <c r="B4" s="3" t="s">
        <v>85</v>
      </c>
      <c r="C4" s="13"/>
    </row>
    <row r="5" spans="1:3" ht="15" customHeight="1" x14ac:dyDescent="0.45">
      <c r="A5" s="6" t="s">
        <v>18</v>
      </c>
      <c r="B5" s="3" t="s">
        <v>86</v>
      </c>
      <c r="C5" s="1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zoomScale="145" zoomScaleNormal="145" workbookViewId="0">
      <pane ySplit="1" topLeftCell="A2" activePane="bottomLeft" state="frozen"/>
      <selection pane="bottomLeft" activeCell="C4" sqref="C4"/>
    </sheetView>
  </sheetViews>
  <sheetFormatPr defaultColWidth="8.6640625" defaultRowHeight="14.25" x14ac:dyDescent="0.45"/>
  <cols>
    <col min="1" max="1" width="6" customWidth="1"/>
    <col min="2" max="2" width="28.796875" customWidth="1"/>
    <col min="3" max="3" width="34.1328125" customWidth="1"/>
    <col min="4" max="4" width="18" customWidth="1"/>
    <col min="5" max="5" width="35.9296875" customWidth="1"/>
  </cols>
  <sheetData>
    <row r="1" spans="1:5" ht="21.75" customHeight="1" x14ac:dyDescent="0.45">
      <c r="A1" s="48" t="s">
        <v>94</v>
      </c>
      <c r="B1" s="47"/>
      <c r="C1" s="47"/>
      <c r="D1" s="47"/>
      <c r="E1" s="47"/>
    </row>
    <row r="2" spans="1:5" ht="15" customHeight="1" x14ac:dyDescent="0.45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</row>
    <row r="3" spans="1:5" ht="15" customHeight="1" x14ac:dyDescent="0.45">
      <c r="A3" s="18" t="s">
        <v>100</v>
      </c>
      <c r="B3" s="5" t="s">
        <v>101</v>
      </c>
      <c r="C3" s="4">
        <v>200</v>
      </c>
      <c r="D3" s="6" t="s">
        <v>102</v>
      </c>
      <c r="E3" s="2" t="s">
        <v>103</v>
      </c>
    </row>
    <row r="4" spans="1:5" ht="25.5" customHeight="1" x14ac:dyDescent="0.45">
      <c r="A4" s="19" t="s">
        <v>104</v>
      </c>
      <c r="B4" s="9" t="s">
        <v>105</v>
      </c>
      <c r="C4" s="2" t="s">
        <v>106</v>
      </c>
      <c r="D4" s="10" t="s">
        <v>107</v>
      </c>
      <c r="E4" s="2" t="s">
        <v>103</v>
      </c>
    </row>
    <row r="5" spans="1:5" ht="15" customHeight="1" x14ac:dyDescent="0.45">
      <c r="A5" s="18" t="s">
        <v>108</v>
      </c>
      <c r="B5" s="5" t="s">
        <v>109</v>
      </c>
      <c r="C5" s="2" t="s">
        <v>110</v>
      </c>
      <c r="D5" s="6" t="s">
        <v>107</v>
      </c>
      <c r="E5" s="2" t="s">
        <v>111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zoomScaleNormal="100" workbookViewId="0">
      <pane ySplit="1" topLeftCell="A3" activePane="bottomLeft" state="frozen"/>
      <selection pane="bottomLeft" activeCell="A19" sqref="A19:E40"/>
    </sheetView>
  </sheetViews>
  <sheetFormatPr defaultColWidth="8.6640625" defaultRowHeight="14.25" x14ac:dyDescent="0.45"/>
  <cols>
    <col min="1" max="1" width="10.73046875" bestFit="1" customWidth="1"/>
    <col min="2" max="2" width="14" bestFit="1" customWidth="1"/>
    <col min="3" max="3" width="13.265625" bestFit="1" customWidth="1"/>
    <col min="4" max="5" width="9.06640625"/>
  </cols>
  <sheetData>
    <row r="1" spans="1:5" ht="21.75" customHeight="1" x14ac:dyDescent="0.45">
      <c r="A1" s="48" t="s">
        <v>87</v>
      </c>
      <c r="B1" s="48"/>
      <c r="C1" s="48"/>
      <c r="D1" s="48"/>
      <c r="E1" s="48"/>
    </row>
    <row r="2" spans="1:5" ht="29.35" customHeight="1" x14ac:dyDescent="0.45">
      <c r="A2" s="50" t="s">
        <v>212</v>
      </c>
      <c r="B2" s="50"/>
      <c r="C2" s="50"/>
      <c r="D2" s="50"/>
      <c r="E2" s="50"/>
    </row>
    <row r="3" spans="1:5" s="25" customFormat="1" x14ac:dyDescent="0.45">
      <c r="A3" s="36" t="s">
        <v>213</v>
      </c>
      <c r="B3" s="36" t="s">
        <v>203</v>
      </c>
      <c r="C3" s="36" t="s">
        <v>228</v>
      </c>
      <c r="D3" s="36" t="s">
        <v>229</v>
      </c>
      <c r="E3" s="36" t="s">
        <v>230</v>
      </c>
    </row>
    <row r="4" spans="1:5" x14ac:dyDescent="0.45">
      <c r="A4" s="37" t="s">
        <v>222</v>
      </c>
      <c r="B4" s="37" t="s">
        <v>248</v>
      </c>
      <c r="C4" s="38" t="s">
        <v>88</v>
      </c>
      <c r="D4" s="39">
        <v>1000</v>
      </c>
      <c r="E4" s="37" t="s">
        <v>234</v>
      </c>
    </row>
    <row r="5" spans="1:5" x14ac:dyDescent="0.45">
      <c r="A5" s="37" t="s">
        <v>216</v>
      </c>
      <c r="B5" s="37" t="s">
        <v>276</v>
      </c>
      <c r="C5" s="38" t="s">
        <v>179</v>
      </c>
      <c r="D5" s="39">
        <v>500</v>
      </c>
      <c r="E5" s="37" t="s">
        <v>234</v>
      </c>
    </row>
    <row r="6" spans="1:5" x14ac:dyDescent="0.45">
      <c r="A6" s="37" t="s">
        <v>216</v>
      </c>
      <c r="B6" s="37" t="s">
        <v>249</v>
      </c>
      <c r="C6" s="38" t="s">
        <v>90</v>
      </c>
      <c r="D6" s="39">
        <v>1600</v>
      </c>
      <c r="E6" s="37" t="s">
        <v>232</v>
      </c>
    </row>
    <row r="7" spans="1:5" x14ac:dyDescent="0.45">
      <c r="A7" s="37" t="s">
        <v>216</v>
      </c>
      <c r="B7" s="37" t="s">
        <v>250</v>
      </c>
      <c r="C7" s="38" t="s">
        <v>177</v>
      </c>
      <c r="D7" s="39">
        <v>200</v>
      </c>
      <c r="E7" s="37" t="s">
        <v>233</v>
      </c>
    </row>
    <row r="8" spans="1:5" x14ac:dyDescent="0.45">
      <c r="A8" s="37" t="s">
        <v>216</v>
      </c>
      <c r="B8" s="37" t="s">
        <v>251</v>
      </c>
      <c r="C8" s="38" t="s">
        <v>86</v>
      </c>
      <c r="D8" s="39">
        <v>2800</v>
      </c>
      <c r="E8" s="37" t="s">
        <v>233</v>
      </c>
    </row>
    <row r="9" spans="1:5" x14ac:dyDescent="0.45">
      <c r="A9" s="37" t="s">
        <v>216</v>
      </c>
      <c r="B9" s="37" t="s">
        <v>252</v>
      </c>
      <c r="C9" s="38" t="s">
        <v>166</v>
      </c>
      <c r="D9" s="39">
        <v>1000</v>
      </c>
      <c r="E9" s="37" t="s">
        <v>234</v>
      </c>
    </row>
    <row r="10" spans="1:5" x14ac:dyDescent="0.45">
      <c r="A10" s="37" t="s">
        <v>217</v>
      </c>
      <c r="B10" s="37" t="s">
        <v>253</v>
      </c>
      <c r="C10" s="38" t="s">
        <v>86</v>
      </c>
      <c r="D10" s="39">
        <v>200</v>
      </c>
      <c r="E10" s="37" t="s">
        <v>233</v>
      </c>
    </row>
    <row r="11" spans="1:5" x14ac:dyDescent="0.45">
      <c r="A11" s="37" t="s">
        <v>217</v>
      </c>
      <c r="B11" s="37" t="s">
        <v>279</v>
      </c>
      <c r="C11" s="38" t="s">
        <v>189</v>
      </c>
      <c r="D11" s="39">
        <v>1600</v>
      </c>
      <c r="E11" s="37" t="s">
        <v>233</v>
      </c>
    </row>
    <row r="12" spans="1:5" x14ac:dyDescent="0.45">
      <c r="A12" s="37" t="s">
        <v>217</v>
      </c>
      <c r="B12" s="37" t="s">
        <v>280</v>
      </c>
      <c r="C12" s="38" t="s">
        <v>165</v>
      </c>
      <c r="D12" s="39">
        <v>600</v>
      </c>
      <c r="E12" s="37" t="s">
        <v>234</v>
      </c>
    </row>
    <row r="13" spans="1:5" x14ac:dyDescent="0.45">
      <c r="A13" s="37" t="s">
        <v>217</v>
      </c>
      <c r="B13" s="37" t="s">
        <v>254</v>
      </c>
      <c r="C13" s="38" t="s">
        <v>167</v>
      </c>
      <c r="D13" s="39">
        <v>3000</v>
      </c>
      <c r="E13" s="37" t="s">
        <v>234</v>
      </c>
    </row>
    <row r="14" spans="1:5" x14ac:dyDescent="0.45">
      <c r="A14" s="37" t="s">
        <v>218</v>
      </c>
      <c r="B14" s="37" t="s">
        <v>255</v>
      </c>
      <c r="C14" s="38" t="s">
        <v>148</v>
      </c>
      <c r="D14" s="39">
        <v>600</v>
      </c>
      <c r="E14" s="37" t="s">
        <v>234</v>
      </c>
    </row>
    <row r="15" spans="1:5" x14ac:dyDescent="0.45">
      <c r="A15" s="37" t="s">
        <v>218</v>
      </c>
      <c r="B15" s="37" t="s">
        <v>256</v>
      </c>
      <c r="C15" s="38" t="s">
        <v>86</v>
      </c>
      <c r="D15" s="39">
        <v>400</v>
      </c>
      <c r="E15" s="37" t="s">
        <v>233</v>
      </c>
    </row>
    <row r="16" spans="1:5" x14ac:dyDescent="0.45">
      <c r="A16" s="37" t="s">
        <v>219</v>
      </c>
      <c r="B16" s="37" t="s">
        <v>257</v>
      </c>
      <c r="C16" s="38" t="s">
        <v>178</v>
      </c>
      <c r="D16" s="39">
        <v>1200</v>
      </c>
      <c r="E16" s="37" t="s">
        <v>233</v>
      </c>
    </row>
    <row r="17" spans="1:5" x14ac:dyDescent="0.45">
      <c r="A17" s="37" t="s">
        <v>220</v>
      </c>
      <c r="B17" s="37" t="s">
        <v>258</v>
      </c>
      <c r="C17" s="38" t="s">
        <v>163</v>
      </c>
      <c r="D17" s="39">
        <v>1200</v>
      </c>
      <c r="E17" s="37" t="s">
        <v>234</v>
      </c>
    </row>
    <row r="18" spans="1:5" x14ac:dyDescent="0.45">
      <c r="A18" s="37" t="s">
        <v>220</v>
      </c>
      <c r="B18" s="37" t="s">
        <v>259</v>
      </c>
      <c r="C18" s="38" t="s">
        <v>177</v>
      </c>
      <c r="D18" s="39">
        <v>2200</v>
      </c>
      <c r="E18" s="37" t="s">
        <v>233</v>
      </c>
    </row>
    <row r="19" spans="1:5" x14ac:dyDescent="0.45">
      <c r="A19" s="37" t="s">
        <v>221</v>
      </c>
      <c r="B19" s="37" t="s">
        <v>260</v>
      </c>
      <c r="C19" s="38" t="s">
        <v>89</v>
      </c>
      <c r="D19" s="39">
        <v>2400</v>
      </c>
      <c r="E19" s="37" t="s">
        <v>233</v>
      </c>
    </row>
    <row r="20" spans="1:5" x14ac:dyDescent="0.45">
      <c r="A20" s="37" t="s">
        <v>221</v>
      </c>
      <c r="B20" s="37" t="s">
        <v>281</v>
      </c>
      <c r="C20" s="38" t="s">
        <v>178</v>
      </c>
      <c r="D20" s="39">
        <v>1200</v>
      </c>
      <c r="E20" s="37" t="s">
        <v>233</v>
      </c>
    </row>
    <row r="21" spans="1:5" x14ac:dyDescent="0.45">
      <c r="A21" s="37" t="s">
        <v>282</v>
      </c>
      <c r="B21" s="37" t="s">
        <v>283</v>
      </c>
      <c r="C21" s="38" t="s">
        <v>90</v>
      </c>
      <c r="D21" s="39">
        <v>1000</v>
      </c>
      <c r="E21" s="37" t="s">
        <v>234</v>
      </c>
    </row>
    <row r="22" spans="1:5" x14ac:dyDescent="0.45">
      <c r="A22" s="37" t="s">
        <v>282</v>
      </c>
      <c r="B22" s="37" t="s">
        <v>284</v>
      </c>
      <c r="C22" s="38" t="s">
        <v>85</v>
      </c>
      <c r="D22" s="39">
        <v>800</v>
      </c>
      <c r="E22" s="37" t="s">
        <v>232</v>
      </c>
    </row>
    <row r="23" spans="1:5" x14ac:dyDescent="0.45">
      <c r="A23" s="37" t="s">
        <v>282</v>
      </c>
      <c r="B23" s="37" t="s">
        <v>285</v>
      </c>
      <c r="C23" s="38" t="s">
        <v>88</v>
      </c>
      <c r="D23" s="39">
        <v>1000</v>
      </c>
      <c r="E23" s="37" t="s">
        <v>234</v>
      </c>
    </row>
    <row r="24" spans="1:5" x14ac:dyDescent="0.45">
      <c r="A24" s="37" t="s">
        <v>282</v>
      </c>
      <c r="B24" s="37" t="s">
        <v>286</v>
      </c>
      <c r="C24" s="38" t="s">
        <v>167</v>
      </c>
      <c r="D24" s="39">
        <v>3000</v>
      </c>
      <c r="E24" s="37" t="s">
        <v>234</v>
      </c>
    </row>
    <row r="25" spans="1:5" x14ac:dyDescent="0.45">
      <c r="A25" s="37" t="s">
        <v>287</v>
      </c>
      <c r="B25" s="37" t="s">
        <v>288</v>
      </c>
      <c r="C25" s="38" t="s">
        <v>86</v>
      </c>
      <c r="D25" s="39">
        <v>1600</v>
      </c>
      <c r="E25" s="37" t="s">
        <v>233</v>
      </c>
    </row>
    <row r="26" spans="1:5" x14ac:dyDescent="0.45">
      <c r="A26" s="37" t="s">
        <v>287</v>
      </c>
      <c r="B26" s="37" t="s">
        <v>289</v>
      </c>
      <c r="C26" s="38" t="s">
        <v>179</v>
      </c>
      <c r="D26" s="39">
        <v>1600</v>
      </c>
      <c r="E26" s="37" t="s">
        <v>234</v>
      </c>
    </row>
    <row r="27" spans="1:5" x14ac:dyDescent="0.45">
      <c r="A27" s="37" t="s">
        <v>287</v>
      </c>
      <c r="B27" s="37" t="s">
        <v>290</v>
      </c>
      <c r="C27" s="38" t="s">
        <v>157</v>
      </c>
      <c r="D27" s="39">
        <v>900</v>
      </c>
      <c r="E27" s="37" t="s">
        <v>234</v>
      </c>
    </row>
    <row r="28" spans="1:5" x14ac:dyDescent="0.45">
      <c r="A28" s="37" t="s">
        <v>291</v>
      </c>
      <c r="B28" s="37" t="s">
        <v>292</v>
      </c>
      <c r="C28" s="38" t="s">
        <v>153</v>
      </c>
      <c r="D28" s="39">
        <v>2600</v>
      </c>
      <c r="E28" s="37" t="s">
        <v>234</v>
      </c>
    </row>
    <row r="29" spans="1:5" x14ac:dyDescent="0.45">
      <c r="A29" s="37" t="s">
        <v>293</v>
      </c>
      <c r="B29" s="37" t="s">
        <v>294</v>
      </c>
      <c r="C29" s="38" t="s">
        <v>187</v>
      </c>
      <c r="D29" s="39">
        <v>1000</v>
      </c>
      <c r="E29" s="37" t="s">
        <v>233</v>
      </c>
    </row>
    <row r="30" spans="1:5" x14ac:dyDescent="0.45">
      <c r="A30" s="37" t="s">
        <v>293</v>
      </c>
      <c r="B30" s="37" t="s">
        <v>295</v>
      </c>
      <c r="C30" s="38" t="s">
        <v>157</v>
      </c>
      <c r="D30" s="39">
        <v>2400</v>
      </c>
      <c r="E30" s="37" t="s">
        <v>234</v>
      </c>
    </row>
    <row r="31" spans="1:5" x14ac:dyDescent="0.45">
      <c r="A31" s="37" t="s">
        <v>293</v>
      </c>
      <c r="B31" s="37" t="s">
        <v>296</v>
      </c>
      <c r="C31" s="38" t="s">
        <v>188</v>
      </c>
      <c r="D31" s="39">
        <v>2200</v>
      </c>
      <c r="E31" s="37" t="s">
        <v>233</v>
      </c>
    </row>
    <row r="32" spans="1:5" x14ac:dyDescent="0.45">
      <c r="A32" s="37" t="s">
        <v>297</v>
      </c>
      <c r="B32" s="37" t="s">
        <v>298</v>
      </c>
      <c r="C32" s="38" t="s">
        <v>153</v>
      </c>
      <c r="D32" s="39">
        <v>800</v>
      </c>
      <c r="E32" s="37" t="s">
        <v>234</v>
      </c>
    </row>
    <row r="33" spans="1:5" x14ac:dyDescent="0.45">
      <c r="A33" s="37" t="s">
        <v>297</v>
      </c>
      <c r="B33" s="37" t="s">
        <v>299</v>
      </c>
      <c r="C33" s="38" t="s">
        <v>84</v>
      </c>
      <c r="D33" s="39">
        <v>600</v>
      </c>
      <c r="E33" s="37" t="s">
        <v>234</v>
      </c>
    </row>
    <row r="34" spans="1:5" x14ac:dyDescent="0.45">
      <c r="A34" s="37" t="s">
        <v>297</v>
      </c>
      <c r="B34" s="37" t="s">
        <v>300</v>
      </c>
      <c r="C34" s="38" t="s">
        <v>149</v>
      </c>
      <c r="D34" s="39">
        <v>200</v>
      </c>
      <c r="E34" s="37" t="s">
        <v>234</v>
      </c>
    </row>
    <row r="35" spans="1:5" x14ac:dyDescent="0.45">
      <c r="A35" s="37" t="s">
        <v>297</v>
      </c>
      <c r="B35" s="37" t="s">
        <v>301</v>
      </c>
      <c r="C35" s="38" t="s">
        <v>167</v>
      </c>
      <c r="D35" s="39">
        <v>2600</v>
      </c>
      <c r="E35" s="37" t="s">
        <v>234</v>
      </c>
    </row>
    <row r="36" spans="1:5" x14ac:dyDescent="0.45">
      <c r="A36" s="37" t="s">
        <v>302</v>
      </c>
      <c r="B36" s="37" t="s">
        <v>303</v>
      </c>
      <c r="C36" s="38" t="s">
        <v>163</v>
      </c>
      <c r="D36" s="39">
        <v>1200</v>
      </c>
      <c r="E36" s="37" t="s">
        <v>234</v>
      </c>
    </row>
    <row r="37" spans="1:5" x14ac:dyDescent="0.45">
      <c r="A37" s="37" t="s">
        <v>302</v>
      </c>
      <c r="B37" s="37" t="s">
        <v>304</v>
      </c>
      <c r="C37" s="38" t="s">
        <v>90</v>
      </c>
      <c r="D37" s="39">
        <v>2000</v>
      </c>
      <c r="E37" s="37" t="s">
        <v>232</v>
      </c>
    </row>
    <row r="38" spans="1:5" x14ac:dyDescent="0.45">
      <c r="A38" s="37" t="s">
        <v>302</v>
      </c>
      <c r="B38" s="37" t="s">
        <v>305</v>
      </c>
      <c r="C38" s="38" t="s">
        <v>179</v>
      </c>
      <c r="D38" s="39">
        <v>400</v>
      </c>
      <c r="E38" s="37" t="s">
        <v>234</v>
      </c>
    </row>
    <row r="39" spans="1:5" x14ac:dyDescent="0.45">
      <c r="A39" s="37" t="s">
        <v>302</v>
      </c>
      <c r="B39" s="37" t="s">
        <v>306</v>
      </c>
      <c r="C39" s="38" t="s">
        <v>89</v>
      </c>
      <c r="D39" s="39">
        <v>1000</v>
      </c>
      <c r="E39" s="37" t="s">
        <v>233</v>
      </c>
    </row>
    <row r="40" spans="1:5" x14ac:dyDescent="0.45">
      <c r="A40" s="37" t="s">
        <v>302</v>
      </c>
      <c r="B40" s="37" t="s">
        <v>307</v>
      </c>
      <c r="C40" s="38" t="s">
        <v>91</v>
      </c>
      <c r="D40" s="39">
        <v>800</v>
      </c>
      <c r="E40" s="37" t="s">
        <v>233</v>
      </c>
    </row>
  </sheetData>
  <autoFilter ref="A3:E8" xr:uid="{00000000-0001-0000-0500-000000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zoomScale="95" zoomScaleNormal="70" workbookViewId="0">
      <pane ySplit="2" topLeftCell="A3" activePane="bottomLeft" state="frozen"/>
      <selection pane="bottomLeft" activeCell="A19" sqref="A19:E34"/>
    </sheetView>
  </sheetViews>
  <sheetFormatPr defaultRowHeight="14.25" x14ac:dyDescent="0.45"/>
  <cols>
    <col min="1" max="1" width="15.265625" style="31" bestFit="1" customWidth="1"/>
    <col min="2" max="2" width="16" style="31" customWidth="1"/>
    <col min="3" max="3" width="13" style="31" bestFit="1" customWidth="1"/>
    <col min="4" max="16384" width="9.06640625" style="31"/>
  </cols>
  <sheetData>
    <row r="1" spans="1:5" x14ac:dyDescent="0.45">
      <c r="A1" s="35" t="s">
        <v>202</v>
      </c>
    </row>
    <row r="2" spans="1:5" s="33" customFormat="1" x14ac:dyDescent="0.4">
      <c r="A2" s="36" t="s">
        <v>213</v>
      </c>
      <c r="B2" s="36" t="s">
        <v>203</v>
      </c>
      <c r="C2" s="36" t="s">
        <v>228</v>
      </c>
      <c r="D2" s="36" t="s">
        <v>229</v>
      </c>
      <c r="E2" s="36" t="s">
        <v>230</v>
      </c>
    </row>
    <row r="3" spans="1:5" x14ac:dyDescent="0.35">
      <c r="A3" s="37" t="s">
        <v>222</v>
      </c>
      <c r="B3" s="37" t="s">
        <v>231</v>
      </c>
      <c r="C3" s="38" t="s">
        <v>191</v>
      </c>
      <c r="D3" s="39">
        <v>3000</v>
      </c>
      <c r="E3" s="37" t="s">
        <v>232</v>
      </c>
    </row>
    <row r="4" spans="1:5" x14ac:dyDescent="0.35">
      <c r="A4" s="37" t="s">
        <v>222</v>
      </c>
      <c r="B4" s="37" t="s">
        <v>231</v>
      </c>
      <c r="C4" s="38" t="s">
        <v>181</v>
      </c>
      <c r="D4" s="39">
        <v>2600</v>
      </c>
      <c r="E4" s="37" t="s">
        <v>233</v>
      </c>
    </row>
    <row r="5" spans="1:5" x14ac:dyDescent="0.35">
      <c r="A5" s="37" t="s">
        <v>222</v>
      </c>
      <c r="B5" s="37" t="s">
        <v>277</v>
      </c>
      <c r="C5" s="38" t="s">
        <v>196</v>
      </c>
      <c r="D5" s="39">
        <v>3200</v>
      </c>
      <c r="E5" s="37" t="s">
        <v>233</v>
      </c>
    </row>
    <row r="6" spans="1:5" x14ac:dyDescent="0.35">
      <c r="A6" s="37" t="s">
        <v>222</v>
      </c>
      <c r="B6" s="37" t="s">
        <v>278</v>
      </c>
      <c r="C6" s="38" t="s">
        <v>161</v>
      </c>
      <c r="D6" s="39">
        <v>3000</v>
      </c>
      <c r="E6" s="37" t="s">
        <v>234</v>
      </c>
    </row>
    <row r="7" spans="1:5" x14ac:dyDescent="0.35">
      <c r="A7" s="37" t="s">
        <v>216</v>
      </c>
      <c r="B7" s="37" t="s">
        <v>235</v>
      </c>
      <c r="C7" s="38" t="s">
        <v>191</v>
      </c>
      <c r="D7" s="39">
        <v>1200</v>
      </c>
      <c r="E7" s="37" t="s">
        <v>232</v>
      </c>
    </row>
    <row r="8" spans="1:5" x14ac:dyDescent="0.35">
      <c r="A8" s="37" t="s">
        <v>216</v>
      </c>
      <c r="B8" s="37" t="s">
        <v>236</v>
      </c>
      <c r="C8" s="38" t="s">
        <v>191</v>
      </c>
      <c r="D8" s="39">
        <v>3000</v>
      </c>
      <c r="E8" s="37" t="s">
        <v>234</v>
      </c>
    </row>
    <row r="9" spans="1:5" x14ac:dyDescent="0.35">
      <c r="A9" s="37" t="s">
        <v>217</v>
      </c>
      <c r="B9" s="37" t="s">
        <v>237</v>
      </c>
      <c r="C9" s="38" t="s">
        <v>191</v>
      </c>
      <c r="D9" s="39">
        <v>3000</v>
      </c>
      <c r="E9" s="37" t="s">
        <v>232</v>
      </c>
    </row>
    <row r="10" spans="1:5" x14ac:dyDescent="0.35">
      <c r="A10" s="37" t="s">
        <v>217</v>
      </c>
      <c r="B10" s="37" t="s">
        <v>238</v>
      </c>
      <c r="C10" s="38" t="s">
        <v>181</v>
      </c>
      <c r="D10" s="39">
        <v>2400</v>
      </c>
      <c r="E10" s="37" t="s">
        <v>233</v>
      </c>
    </row>
    <row r="11" spans="1:5" x14ac:dyDescent="0.35">
      <c r="A11" s="37" t="s">
        <v>218</v>
      </c>
      <c r="B11" s="37" t="s">
        <v>239</v>
      </c>
      <c r="C11" s="38" t="s">
        <v>169</v>
      </c>
      <c r="D11" s="39">
        <v>2600</v>
      </c>
      <c r="E11" s="37" t="s">
        <v>234</v>
      </c>
    </row>
    <row r="12" spans="1:5" x14ac:dyDescent="0.35">
      <c r="A12" s="37" t="s">
        <v>218</v>
      </c>
      <c r="B12" s="37" t="s">
        <v>240</v>
      </c>
      <c r="C12" s="38" t="s">
        <v>181</v>
      </c>
      <c r="D12" s="39">
        <v>1000</v>
      </c>
      <c r="E12" s="37" t="s">
        <v>233</v>
      </c>
    </row>
    <row r="13" spans="1:5" x14ac:dyDescent="0.35">
      <c r="A13" s="37" t="s">
        <v>218</v>
      </c>
      <c r="B13" s="37" t="s">
        <v>241</v>
      </c>
      <c r="C13" s="38" t="s">
        <v>181</v>
      </c>
      <c r="D13" s="39">
        <v>3000</v>
      </c>
      <c r="E13" s="37" t="s">
        <v>233</v>
      </c>
    </row>
    <row r="14" spans="1:5" x14ac:dyDescent="0.35">
      <c r="A14" s="37" t="s">
        <v>218</v>
      </c>
      <c r="B14" s="37" t="s">
        <v>242</v>
      </c>
      <c r="C14" s="38" t="s">
        <v>169</v>
      </c>
      <c r="D14" s="39">
        <v>2800</v>
      </c>
      <c r="E14" s="37" t="s">
        <v>234</v>
      </c>
    </row>
    <row r="15" spans="1:5" x14ac:dyDescent="0.35">
      <c r="A15" s="37" t="s">
        <v>219</v>
      </c>
      <c r="B15" s="37" t="s">
        <v>243</v>
      </c>
      <c r="C15" s="38" t="s">
        <v>181</v>
      </c>
      <c r="D15" s="39">
        <v>1600</v>
      </c>
      <c r="E15" s="37" t="s">
        <v>233</v>
      </c>
    </row>
    <row r="16" spans="1:5" x14ac:dyDescent="0.35">
      <c r="A16" s="37" t="s">
        <v>220</v>
      </c>
      <c r="B16" s="37" t="s">
        <v>244</v>
      </c>
      <c r="C16" s="38" t="s">
        <v>191</v>
      </c>
      <c r="D16" s="39">
        <v>1400</v>
      </c>
      <c r="E16" s="37" t="s">
        <v>232</v>
      </c>
    </row>
    <row r="17" spans="1:5" x14ac:dyDescent="0.35">
      <c r="A17" s="37" t="s">
        <v>220</v>
      </c>
      <c r="B17" s="37" t="s">
        <v>245</v>
      </c>
      <c r="C17" s="38" t="s">
        <v>191</v>
      </c>
      <c r="D17" s="39">
        <v>3600</v>
      </c>
      <c r="E17" s="37" t="s">
        <v>232</v>
      </c>
    </row>
    <row r="18" spans="1:5" x14ac:dyDescent="0.35">
      <c r="A18" s="37" t="s">
        <v>220</v>
      </c>
      <c r="B18" s="37" t="s">
        <v>246</v>
      </c>
      <c r="C18" s="38" t="s">
        <v>161</v>
      </c>
      <c r="D18" s="39">
        <v>3000</v>
      </c>
      <c r="E18" s="37" t="s">
        <v>234</v>
      </c>
    </row>
    <row r="19" spans="1:5" x14ac:dyDescent="0.35">
      <c r="A19" s="37" t="s">
        <v>221</v>
      </c>
      <c r="B19" s="37" t="s">
        <v>247</v>
      </c>
      <c r="C19" s="38" t="s">
        <v>161</v>
      </c>
      <c r="D19" s="39">
        <v>1600</v>
      </c>
      <c r="E19" s="37" t="s">
        <v>234</v>
      </c>
    </row>
    <row r="20" spans="1:5" x14ac:dyDescent="0.35">
      <c r="A20" s="37" t="s">
        <v>221</v>
      </c>
      <c r="B20" s="37" t="s">
        <v>308</v>
      </c>
      <c r="C20" s="38" t="s">
        <v>191</v>
      </c>
      <c r="D20" s="39">
        <v>5000</v>
      </c>
      <c r="E20" s="37" t="s">
        <v>234</v>
      </c>
    </row>
    <row r="21" spans="1:5" x14ac:dyDescent="0.35">
      <c r="A21" s="37" t="s">
        <v>221</v>
      </c>
      <c r="B21" s="37" t="s">
        <v>309</v>
      </c>
      <c r="C21" s="38" t="s">
        <v>181</v>
      </c>
      <c r="D21" s="39">
        <v>2000</v>
      </c>
      <c r="E21" s="37" t="s">
        <v>233</v>
      </c>
    </row>
    <row r="22" spans="1:5" x14ac:dyDescent="0.35">
      <c r="A22" s="37" t="s">
        <v>282</v>
      </c>
      <c r="B22" s="37" t="s">
        <v>310</v>
      </c>
      <c r="C22" s="38" t="s">
        <v>181</v>
      </c>
      <c r="D22" s="39">
        <v>3400</v>
      </c>
      <c r="E22" s="37" t="s">
        <v>233</v>
      </c>
    </row>
    <row r="23" spans="1:5" x14ac:dyDescent="0.35">
      <c r="A23" s="37" t="s">
        <v>282</v>
      </c>
      <c r="B23" s="37" t="s">
        <v>311</v>
      </c>
      <c r="C23" s="38" t="s">
        <v>191</v>
      </c>
      <c r="D23" s="39">
        <v>3400</v>
      </c>
      <c r="E23" s="37" t="s">
        <v>232</v>
      </c>
    </row>
    <row r="24" spans="1:5" x14ac:dyDescent="0.35">
      <c r="A24" s="37" t="s">
        <v>287</v>
      </c>
      <c r="B24" s="37" t="s">
        <v>312</v>
      </c>
      <c r="C24" s="38" t="s">
        <v>181</v>
      </c>
      <c r="D24" s="39">
        <v>1600</v>
      </c>
      <c r="E24" s="37" t="s">
        <v>233</v>
      </c>
    </row>
    <row r="25" spans="1:5" x14ac:dyDescent="0.35">
      <c r="A25" s="37" t="s">
        <v>287</v>
      </c>
      <c r="B25" s="37" t="s">
        <v>313</v>
      </c>
      <c r="C25" s="38" t="s">
        <v>161</v>
      </c>
      <c r="D25" s="39">
        <v>3000</v>
      </c>
      <c r="E25" s="37" t="s">
        <v>234</v>
      </c>
    </row>
    <row r="26" spans="1:5" x14ac:dyDescent="0.35">
      <c r="A26" s="37" t="s">
        <v>287</v>
      </c>
      <c r="B26" s="37" t="s">
        <v>314</v>
      </c>
      <c r="C26" s="38" t="s">
        <v>181</v>
      </c>
      <c r="D26" s="39">
        <v>2000</v>
      </c>
      <c r="E26" s="37" t="s">
        <v>233</v>
      </c>
    </row>
    <row r="27" spans="1:5" x14ac:dyDescent="0.35">
      <c r="A27" s="37" t="s">
        <v>291</v>
      </c>
      <c r="B27" s="37" t="s">
        <v>315</v>
      </c>
      <c r="C27" s="38" t="s">
        <v>181</v>
      </c>
      <c r="D27" s="39">
        <v>800</v>
      </c>
      <c r="E27" s="37" t="s">
        <v>233</v>
      </c>
    </row>
    <row r="28" spans="1:5" x14ac:dyDescent="0.35">
      <c r="A28" s="37" t="s">
        <v>291</v>
      </c>
      <c r="B28" s="37" t="s">
        <v>316</v>
      </c>
      <c r="C28" s="38" t="s">
        <v>196</v>
      </c>
      <c r="D28" s="39">
        <v>2800</v>
      </c>
      <c r="E28" s="37" t="s">
        <v>233</v>
      </c>
    </row>
    <row r="29" spans="1:5" x14ac:dyDescent="0.35">
      <c r="A29" s="37" t="s">
        <v>291</v>
      </c>
      <c r="B29" s="37" t="s">
        <v>317</v>
      </c>
      <c r="C29" s="38" t="s">
        <v>191</v>
      </c>
      <c r="D29" s="39">
        <v>3000</v>
      </c>
      <c r="E29" s="37" t="s">
        <v>232</v>
      </c>
    </row>
    <row r="30" spans="1:5" x14ac:dyDescent="0.35">
      <c r="A30" s="37" t="s">
        <v>291</v>
      </c>
      <c r="B30" s="37" t="s">
        <v>318</v>
      </c>
      <c r="C30" s="38" t="s">
        <v>191</v>
      </c>
      <c r="D30" s="39">
        <v>3000</v>
      </c>
      <c r="E30" s="37" t="s">
        <v>234</v>
      </c>
    </row>
    <row r="31" spans="1:5" x14ac:dyDescent="0.35">
      <c r="A31" s="37" t="s">
        <v>297</v>
      </c>
      <c r="B31" s="37" t="s">
        <v>319</v>
      </c>
      <c r="C31" s="38" t="s">
        <v>181</v>
      </c>
      <c r="D31" s="39">
        <v>3400</v>
      </c>
      <c r="E31" s="37" t="s">
        <v>233</v>
      </c>
    </row>
    <row r="32" spans="1:5" x14ac:dyDescent="0.35">
      <c r="A32" s="37" t="s">
        <v>302</v>
      </c>
      <c r="B32" s="37" t="s">
        <v>320</v>
      </c>
      <c r="C32" s="38" t="s">
        <v>196</v>
      </c>
      <c r="D32" s="39">
        <v>200</v>
      </c>
      <c r="E32" s="37" t="s">
        <v>233</v>
      </c>
    </row>
    <row r="33" spans="1:5" x14ac:dyDescent="0.35">
      <c r="A33" s="37" t="s">
        <v>302</v>
      </c>
      <c r="B33" s="37" t="s">
        <v>321</v>
      </c>
      <c r="C33" s="38" t="s">
        <v>191</v>
      </c>
      <c r="D33" s="39">
        <v>4000</v>
      </c>
      <c r="E33" s="37" t="s">
        <v>234</v>
      </c>
    </row>
    <row r="34" spans="1:5" x14ac:dyDescent="0.35">
      <c r="A34" s="37" t="s">
        <v>302</v>
      </c>
      <c r="B34" s="37" t="s">
        <v>322</v>
      </c>
      <c r="C34" s="38" t="s">
        <v>181</v>
      </c>
      <c r="D34" s="39">
        <v>4000</v>
      </c>
      <c r="E34" s="37" t="s">
        <v>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workbookViewId="0">
      <selection activeCell="C1" sqref="C1"/>
    </sheetView>
  </sheetViews>
  <sheetFormatPr defaultRowHeight="14.25" x14ac:dyDescent="0.45"/>
  <cols>
    <col min="1" max="1" width="16" style="21" customWidth="1"/>
    <col min="2" max="2" width="12" style="21" customWidth="1"/>
    <col min="3" max="3" width="16" style="21" customWidth="1"/>
    <col min="4" max="6" width="5.796875" style="31" customWidth="1"/>
    <col min="8" max="8" width="119.59765625" customWidth="1"/>
  </cols>
  <sheetData>
    <row r="1" spans="1:9" ht="28.5" x14ac:dyDescent="0.45">
      <c r="A1" s="32" t="s">
        <v>145</v>
      </c>
      <c r="B1" s="32" t="s">
        <v>146</v>
      </c>
      <c r="C1" s="32" t="s">
        <v>147</v>
      </c>
      <c r="D1" s="32" t="s">
        <v>9</v>
      </c>
      <c r="E1" s="32" t="s">
        <v>17</v>
      </c>
      <c r="F1" s="32" t="s">
        <v>18</v>
      </c>
      <c r="H1" s="34" t="s">
        <v>207</v>
      </c>
      <c r="I1" s="30"/>
    </row>
    <row r="2" spans="1:9" x14ac:dyDescent="0.45">
      <c r="A2" s="21" t="s">
        <v>84</v>
      </c>
      <c r="B2" s="21">
        <v>200</v>
      </c>
      <c r="C2" s="21">
        <v>4</v>
      </c>
      <c r="D2" s="31" t="s">
        <v>211</v>
      </c>
      <c r="H2" s="25"/>
    </row>
    <row r="3" spans="1:9" x14ac:dyDescent="0.45">
      <c r="A3" s="21" t="s">
        <v>86</v>
      </c>
      <c r="B3" s="21">
        <v>200</v>
      </c>
      <c r="C3" s="21">
        <v>4</v>
      </c>
      <c r="E3" s="31" t="s">
        <v>211</v>
      </c>
    </row>
    <row r="4" spans="1:9" x14ac:dyDescent="0.45">
      <c r="A4" s="21" t="s">
        <v>89</v>
      </c>
      <c r="B4" s="21">
        <v>200</v>
      </c>
      <c r="C4" s="21">
        <v>4</v>
      </c>
      <c r="F4" s="31" t="s">
        <v>211</v>
      </c>
    </row>
    <row r="5" spans="1:9" x14ac:dyDescent="0.45">
      <c r="A5" s="21" t="s">
        <v>88</v>
      </c>
      <c r="B5" s="21">
        <v>200</v>
      </c>
      <c r="C5" s="21">
        <v>4</v>
      </c>
      <c r="F5" s="31" t="s">
        <v>211</v>
      </c>
    </row>
    <row r="6" spans="1:9" x14ac:dyDescent="0.45">
      <c r="A6" s="21" t="s">
        <v>91</v>
      </c>
      <c r="B6" s="21">
        <v>200</v>
      </c>
      <c r="C6" s="21">
        <v>4</v>
      </c>
      <c r="F6" s="31" t="s">
        <v>211</v>
      </c>
    </row>
    <row r="7" spans="1:9" x14ac:dyDescent="0.45">
      <c r="A7" s="21" t="s">
        <v>90</v>
      </c>
      <c r="B7" s="21">
        <v>200</v>
      </c>
      <c r="C7" s="21">
        <v>4</v>
      </c>
      <c r="D7" s="31" t="s">
        <v>211</v>
      </c>
    </row>
    <row r="8" spans="1:9" x14ac:dyDescent="0.45">
      <c r="A8" s="21" t="s">
        <v>148</v>
      </c>
      <c r="B8" s="21">
        <v>200</v>
      </c>
      <c r="C8" s="21">
        <v>4</v>
      </c>
      <c r="D8" s="31" t="s">
        <v>211</v>
      </c>
      <c r="E8" s="31" t="s">
        <v>211</v>
      </c>
    </row>
    <row r="9" spans="1:9" x14ac:dyDescent="0.45">
      <c r="A9" s="21" t="s">
        <v>149</v>
      </c>
      <c r="B9" s="21">
        <v>200</v>
      </c>
      <c r="C9" s="21">
        <v>4</v>
      </c>
      <c r="D9" s="31" t="s">
        <v>211</v>
      </c>
      <c r="E9" s="31" t="s">
        <v>211</v>
      </c>
    </row>
    <row r="10" spans="1:9" x14ac:dyDescent="0.45">
      <c r="A10" s="21" t="s">
        <v>150</v>
      </c>
      <c r="B10" s="21">
        <v>200</v>
      </c>
      <c r="C10" s="21">
        <v>4</v>
      </c>
      <c r="D10" s="31" t="s">
        <v>211</v>
      </c>
    </row>
    <row r="11" spans="1:9" x14ac:dyDescent="0.45">
      <c r="A11" s="21" t="s">
        <v>151</v>
      </c>
      <c r="B11" s="21">
        <v>200</v>
      </c>
      <c r="C11" s="21">
        <v>4</v>
      </c>
      <c r="D11" s="31" t="s">
        <v>211</v>
      </c>
      <c r="E11" s="31" t="s">
        <v>211</v>
      </c>
    </row>
    <row r="12" spans="1:9" x14ac:dyDescent="0.45">
      <c r="A12" s="21" t="s">
        <v>152</v>
      </c>
      <c r="B12" s="21">
        <v>200</v>
      </c>
      <c r="C12" s="21">
        <v>4</v>
      </c>
      <c r="D12" s="31" t="s">
        <v>211</v>
      </c>
    </row>
    <row r="13" spans="1:9" x14ac:dyDescent="0.45">
      <c r="A13" s="21" t="s">
        <v>153</v>
      </c>
      <c r="B13" s="21">
        <v>200</v>
      </c>
      <c r="C13" s="21">
        <v>4</v>
      </c>
      <c r="D13" s="31" t="s">
        <v>211</v>
      </c>
      <c r="E13" s="31" t="s">
        <v>211</v>
      </c>
    </row>
    <row r="14" spans="1:9" x14ac:dyDescent="0.45">
      <c r="A14" s="21" t="s">
        <v>154</v>
      </c>
      <c r="B14" s="21">
        <v>200</v>
      </c>
      <c r="C14" s="21">
        <v>4</v>
      </c>
      <c r="D14" s="31" t="s">
        <v>211</v>
      </c>
    </row>
    <row r="15" spans="1:9" x14ac:dyDescent="0.45">
      <c r="A15" s="21" t="s">
        <v>155</v>
      </c>
      <c r="B15" s="21">
        <v>200</v>
      </c>
      <c r="C15" s="21">
        <v>4</v>
      </c>
      <c r="D15" s="31" t="s">
        <v>211</v>
      </c>
    </row>
    <row r="16" spans="1:9" x14ac:dyDescent="0.45">
      <c r="A16" s="21" t="s">
        <v>156</v>
      </c>
      <c r="B16" s="21">
        <v>200</v>
      </c>
      <c r="C16" s="21">
        <v>4</v>
      </c>
      <c r="D16" s="31" t="s">
        <v>211</v>
      </c>
    </row>
    <row r="17" spans="1:6" x14ac:dyDescent="0.45">
      <c r="A17" s="21" t="s">
        <v>157</v>
      </c>
      <c r="B17" s="21">
        <v>200</v>
      </c>
      <c r="C17" s="21">
        <v>4</v>
      </c>
      <c r="D17" s="31" t="s">
        <v>211</v>
      </c>
    </row>
    <row r="18" spans="1:6" x14ac:dyDescent="0.45">
      <c r="A18" s="21" t="s">
        <v>158</v>
      </c>
      <c r="B18" s="21">
        <v>200</v>
      </c>
      <c r="C18" s="21">
        <v>4</v>
      </c>
      <c r="D18" s="31" t="s">
        <v>211</v>
      </c>
    </row>
    <row r="19" spans="1:6" x14ac:dyDescent="0.45">
      <c r="A19" s="21" t="s">
        <v>85</v>
      </c>
      <c r="B19" s="21">
        <v>200</v>
      </c>
      <c r="C19" s="21">
        <v>4</v>
      </c>
      <c r="D19" s="31" t="s">
        <v>211</v>
      </c>
      <c r="E19" s="31" t="s">
        <v>211</v>
      </c>
      <c r="F19" s="31" t="s">
        <v>211</v>
      </c>
    </row>
    <row r="20" spans="1:6" x14ac:dyDescent="0.45">
      <c r="A20" s="21" t="s">
        <v>159</v>
      </c>
      <c r="B20" s="21">
        <v>200</v>
      </c>
      <c r="C20" s="21">
        <v>4</v>
      </c>
      <c r="D20" s="31" t="s">
        <v>211</v>
      </c>
    </row>
    <row r="21" spans="1:6" x14ac:dyDescent="0.45">
      <c r="A21" s="21" t="s">
        <v>160</v>
      </c>
      <c r="B21" s="21">
        <v>200</v>
      </c>
      <c r="C21" s="21">
        <v>4</v>
      </c>
      <c r="D21" s="31" t="s">
        <v>211</v>
      </c>
    </row>
    <row r="22" spans="1:6" x14ac:dyDescent="0.45">
      <c r="A22" s="21" t="s">
        <v>161</v>
      </c>
      <c r="B22" s="21">
        <v>200</v>
      </c>
      <c r="C22" s="21">
        <v>4</v>
      </c>
      <c r="D22" s="31" t="s">
        <v>211</v>
      </c>
      <c r="E22" s="31" t="s">
        <v>211</v>
      </c>
      <c r="F22" s="31" t="s">
        <v>211</v>
      </c>
    </row>
    <row r="23" spans="1:6" x14ac:dyDescent="0.45">
      <c r="A23" s="21" t="s">
        <v>162</v>
      </c>
      <c r="B23" s="21">
        <v>200</v>
      </c>
      <c r="C23" s="21">
        <v>4</v>
      </c>
      <c r="D23" s="31" t="s">
        <v>211</v>
      </c>
    </row>
    <row r="24" spans="1:6" x14ac:dyDescent="0.45">
      <c r="A24" s="21" t="s">
        <v>163</v>
      </c>
      <c r="B24" s="21">
        <v>200</v>
      </c>
      <c r="C24" s="21">
        <v>4</v>
      </c>
      <c r="D24" s="31" t="s">
        <v>211</v>
      </c>
    </row>
    <row r="25" spans="1:6" x14ac:dyDescent="0.45">
      <c r="A25" s="21" t="s">
        <v>164</v>
      </c>
      <c r="B25" s="21">
        <v>200</v>
      </c>
      <c r="C25" s="21">
        <v>4</v>
      </c>
      <c r="F25" s="31" t="s">
        <v>211</v>
      </c>
    </row>
    <row r="26" spans="1:6" x14ac:dyDescent="0.45">
      <c r="A26" s="21" t="s">
        <v>165</v>
      </c>
      <c r="B26" s="21">
        <v>200</v>
      </c>
      <c r="C26" s="21">
        <v>4</v>
      </c>
      <c r="D26" s="31" t="s">
        <v>211</v>
      </c>
    </row>
    <row r="27" spans="1:6" x14ac:dyDescent="0.45">
      <c r="A27" s="21" t="s">
        <v>166</v>
      </c>
      <c r="B27" s="21">
        <v>200</v>
      </c>
      <c r="C27" s="21">
        <v>4</v>
      </c>
      <c r="F27" s="31" t="s">
        <v>211</v>
      </c>
    </row>
    <row r="28" spans="1:6" x14ac:dyDescent="0.45">
      <c r="A28" s="21" t="s">
        <v>167</v>
      </c>
      <c r="B28" s="21">
        <v>200</v>
      </c>
      <c r="C28" s="21">
        <v>4</v>
      </c>
      <c r="D28" s="31" t="s">
        <v>211</v>
      </c>
    </row>
    <row r="29" spans="1:6" x14ac:dyDescent="0.45">
      <c r="A29" s="21" t="s">
        <v>168</v>
      </c>
      <c r="B29" s="21">
        <v>200</v>
      </c>
      <c r="C29" s="21">
        <v>4</v>
      </c>
      <c r="D29" s="31" t="s">
        <v>211</v>
      </c>
      <c r="F29" s="31" t="s">
        <v>211</v>
      </c>
    </row>
    <row r="30" spans="1:6" x14ac:dyDescent="0.45">
      <c r="A30" s="21" t="s">
        <v>169</v>
      </c>
      <c r="B30" s="21">
        <v>200</v>
      </c>
      <c r="C30" s="21">
        <v>4</v>
      </c>
      <c r="D30" s="31" t="s">
        <v>211</v>
      </c>
    </row>
    <row r="31" spans="1:6" x14ac:dyDescent="0.45">
      <c r="A31" s="21" t="s">
        <v>170</v>
      </c>
      <c r="B31" s="21">
        <v>200</v>
      </c>
      <c r="C31" s="21">
        <v>4</v>
      </c>
      <c r="E31" s="31" t="s">
        <v>211</v>
      </c>
    </row>
    <row r="32" spans="1:6" x14ac:dyDescent="0.45">
      <c r="A32" s="21" t="s">
        <v>171</v>
      </c>
      <c r="B32" s="21">
        <v>200</v>
      </c>
      <c r="C32" s="21">
        <v>4</v>
      </c>
      <c r="D32" s="31" t="s">
        <v>211</v>
      </c>
    </row>
    <row r="33" spans="1:6" x14ac:dyDescent="0.45">
      <c r="A33" s="21" t="s">
        <v>172</v>
      </c>
      <c r="B33" s="21">
        <v>200</v>
      </c>
      <c r="C33" s="21">
        <v>4</v>
      </c>
      <c r="E33" s="31" t="s">
        <v>211</v>
      </c>
      <c r="F33" s="31" t="s">
        <v>211</v>
      </c>
    </row>
    <row r="34" spans="1:6" x14ac:dyDescent="0.45">
      <c r="A34" s="21" t="s">
        <v>173</v>
      </c>
      <c r="B34" s="21">
        <v>200</v>
      </c>
      <c r="C34" s="21">
        <v>4</v>
      </c>
      <c r="E34" s="31" t="s">
        <v>211</v>
      </c>
      <c r="F34" s="31" t="s">
        <v>211</v>
      </c>
    </row>
    <row r="35" spans="1:6" x14ac:dyDescent="0.45">
      <c r="A35" s="21" t="s">
        <v>174</v>
      </c>
      <c r="B35" s="21">
        <v>200</v>
      </c>
      <c r="C35" s="21">
        <v>4</v>
      </c>
      <c r="D35" s="31" t="s">
        <v>211</v>
      </c>
      <c r="E35" s="31" t="s">
        <v>211</v>
      </c>
      <c r="F35" s="31" t="s">
        <v>211</v>
      </c>
    </row>
    <row r="36" spans="1:6" x14ac:dyDescent="0.45">
      <c r="A36" s="21" t="s">
        <v>175</v>
      </c>
      <c r="B36" s="21">
        <v>200</v>
      </c>
      <c r="C36" s="21">
        <v>4</v>
      </c>
      <c r="D36" s="31" t="s">
        <v>211</v>
      </c>
      <c r="E36" s="31" t="s">
        <v>211</v>
      </c>
    </row>
    <row r="37" spans="1:6" x14ac:dyDescent="0.45">
      <c r="A37" s="21" t="s">
        <v>176</v>
      </c>
      <c r="B37" s="21">
        <v>200</v>
      </c>
      <c r="C37" s="21">
        <v>4</v>
      </c>
      <c r="D37" s="31" t="s">
        <v>211</v>
      </c>
      <c r="F37" s="31" t="s">
        <v>211</v>
      </c>
    </row>
    <row r="38" spans="1:6" x14ac:dyDescent="0.45">
      <c r="A38" s="21" t="s">
        <v>177</v>
      </c>
      <c r="B38" s="21">
        <v>200</v>
      </c>
      <c r="C38" s="21">
        <v>4</v>
      </c>
      <c r="E38" s="31" t="s">
        <v>211</v>
      </c>
      <c r="F38" s="31" t="s">
        <v>211</v>
      </c>
    </row>
    <row r="39" spans="1:6" x14ac:dyDescent="0.45">
      <c r="A39" s="21" t="s">
        <v>178</v>
      </c>
      <c r="B39" s="21">
        <v>200</v>
      </c>
      <c r="C39" s="21">
        <v>4</v>
      </c>
      <c r="D39" s="31" t="s">
        <v>211</v>
      </c>
      <c r="E39" s="31" t="s">
        <v>211</v>
      </c>
    </row>
    <row r="40" spans="1:6" x14ac:dyDescent="0.45">
      <c r="A40" s="21" t="s">
        <v>179</v>
      </c>
      <c r="B40" s="21">
        <v>200</v>
      </c>
      <c r="C40" s="21">
        <v>4</v>
      </c>
      <c r="D40" s="31" t="s">
        <v>211</v>
      </c>
      <c r="E40" s="31" t="s">
        <v>211</v>
      </c>
    </row>
    <row r="41" spans="1:6" x14ac:dyDescent="0.45">
      <c r="A41" s="21" t="s">
        <v>180</v>
      </c>
      <c r="B41" s="21">
        <v>200</v>
      </c>
      <c r="C41" s="21">
        <v>4</v>
      </c>
      <c r="D41" s="31" t="s">
        <v>211</v>
      </c>
      <c r="E41" s="31" t="s">
        <v>211</v>
      </c>
    </row>
    <row r="42" spans="1:6" x14ac:dyDescent="0.45">
      <c r="A42" s="21" t="s">
        <v>181</v>
      </c>
      <c r="B42" s="21">
        <v>200</v>
      </c>
      <c r="C42" s="21">
        <v>4</v>
      </c>
      <c r="D42" s="31" t="s">
        <v>211</v>
      </c>
      <c r="E42" s="31" t="s">
        <v>211</v>
      </c>
    </row>
    <row r="43" spans="1:6" x14ac:dyDescent="0.45">
      <c r="A43" s="21" t="s">
        <v>182</v>
      </c>
      <c r="B43" s="21">
        <v>200</v>
      </c>
      <c r="C43" s="21">
        <v>4</v>
      </c>
      <c r="D43" s="31" t="s">
        <v>211</v>
      </c>
      <c r="F43" s="31" t="s">
        <v>211</v>
      </c>
    </row>
    <row r="44" spans="1:6" x14ac:dyDescent="0.45">
      <c r="A44" s="21" t="s">
        <v>183</v>
      </c>
      <c r="B44" s="21">
        <v>200</v>
      </c>
      <c r="C44" s="21">
        <v>4</v>
      </c>
      <c r="E44" s="31" t="s">
        <v>211</v>
      </c>
      <c r="F44" s="31" t="s">
        <v>211</v>
      </c>
    </row>
    <row r="45" spans="1:6" x14ac:dyDescent="0.45">
      <c r="A45" s="21" t="s">
        <v>184</v>
      </c>
      <c r="B45" s="21">
        <v>200</v>
      </c>
      <c r="C45" s="21">
        <v>4</v>
      </c>
      <c r="E45" s="31" t="s">
        <v>211</v>
      </c>
      <c r="F45" s="31" t="s">
        <v>211</v>
      </c>
    </row>
    <row r="46" spans="1:6" x14ac:dyDescent="0.45">
      <c r="A46" s="21" t="s">
        <v>185</v>
      </c>
      <c r="B46" s="21">
        <v>200</v>
      </c>
      <c r="C46" s="21">
        <v>4</v>
      </c>
      <c r="D46" s="31" t="s">
        <v>211</v>
      </c>
      <c r="F46" s="31" t="s">
        <v>211</v>
      </c>
    </row>
    <row r="47" spans="1:6" x14ac:dyDescent="0.45">
      <c r="A47" s="21" t="s">
        <v>186</v>
      </c>
      <c r="B47" s="21">
        <v>200</v>
      </c>
      <c r="C47" s="21">
        <v>4</v>
      </c>
      <c r="E47" s="31" t="s">
        <v>211</v>
      </c>
      <c r="F47" s="31" t="s">
        <v>211</v>
      </c>
    </row>
    <row r="48" spans="1:6" x14ac:dyDescent="0.45">
      <c r="A48" s="21" t="s">
        <v>187</v>
      </c>
      <c r="B48" s="21">
        <v>200</v>
      </c>
      <c r="C48" s="21">
        <v>4</v>
      </c>
      <c r="D48" s="31" t="s">
        <v>211</v>
      </c>
      <c r="F48" s="31" t="s">
        <v>211</v>
      </c>
    </row>
    <row r="49" spans="1:6" x14ac:dyDescent="0.45">
      <c r="A49" s="21" t="s">
        <v>188</v>
      </c>
      <c r="B49" s="21">
        <v>200</v>
      </c>
      <c r="C49" s="21">
        <v>4</v>
      </c>
      <c r="D49" s="31" t="s">
        <v>211</v>
      </c>
      <c r="F49" s="31" t="s">
        <v>211</v>
      </c>
    </row>
    <row r="50" spans="1:6" x14ac:dyDescent="0.45">
      <c r="A50" s="21" t="s">
        <v>189</v>
      </c>
      <c r="B50" s="21">
        <v>200</v>
      </c>
      <c r="C50" s="21">
        <v>4</v>
      </c>
      <c r="D50" s="31" t="s">
        <v>211</v>
      </c>
      <c r="F50" s="31" t="s">
        <v>211</v>
      </c>
    </row>
    <row r="51" spans="1:6" x14ac:dyDescent="0.45">
      <c r="A51" s="21" t="s">
        <v>190</v>
      </c>
      <c r="B51" s="21">
        <v>200</v>
      </c>
      <c r="C51" s="21">
        <v>4</v>
      </c>
      <c r="D51" s="31" t="s">
        <v>211</v>
      </c>
      <c r="E51" s="31" t="s">
        <v>211</v>
      </c>
    </row>
    <row r="52" spans="1:6" x14ac:dyDescent="0.45">
      <c r="A52" s="21" t="s">
        <v>191</v>
      </c>
      <c r="B52" s="21">
        <v>200</v>
      </c>
      <c r="C52" s="21">
        <v>4</v>
      </c>
      <c r="D52" s="31" t="s">
        <v>211</v>
      </c>
      <c r="E52" s="31" t="s">
        <v>211</v>
      </c>
    </row>
    <row r="53" spans="1:6" x14ac:dyDescent="0.45">
      <c r="A53" s="21" t="s">
        <v>192</v>
      </c>
      <c r="B53" s="21">
        <v>200</v>
      </c>
      <c r="C53" s="21">
        <v>4</v>
      </c>
      <c r="E53" s="31" t="s">
        <v>211</v>
      </c>
      <c r="F53" s="31" t="s">
        <v>211</v>
      </c>
    </row>
    <row r="54" spans="1:6" x14ac:dyDescent="0.45">
      <c r="A54" s="21" t="s">
        <v>193</v>
      </c>
      <c r="B54" s="21">
        <v>200</v>
      </c>
      <c r="C54" s="21">
        <v>4</v>
      </c>
      <c r="D54" s="31" t="s">
        <v>211</v>
      </c>
    </row>
    <row r="55" spans="1:6" x14ac:dyDescent="0.45">
      <c r="A55" s="21" t="s">
        <v>194</v>
      </c>
      <c r="B55" s="21">
        <v>200</v>
      </c>
      <c r="C55" s="21">
        <v>4</v>
      </c>
      <c r="D55" s="31" t="s">
        <v>211</v>
      </c>
      <c r="E55" s="31" t="s">
        <v>211</v>
      </c>
    </row>
    <row r="56" spans="1:6" x14ac:dyDescent="0.45">
      <c r="A56" s="21" t="s">
        <v>195</v>
      </c>
      <c r="B56" s="21">
        <v>200</v>
      </c>
      <c r="C56" s="21">
        <v>4</v>
      </c>
      <c r="D56" s="31" t="s">
        <v>211</v>
      </c>
    </row>
    <row r="57" spans="1:6" x14ac:dyDescent="0.45">
      <c r="A57" s="21" t="s">
        <v>196</v>
      </c>
      <c r="B57" s="21">
        <v>200</v>
      </c>
      <c r="C57" s="21">
        <v>4</v>
      </c>
      <c r="E57" s="31" t="s">
        <v>211</v>
      </c>
      <c r="F57" s="31" t="s">
        <v>211</v>
      </c>
    </row>
    <row r="58" spans="1:6" x14ac:dyDescent="0.45">
      <c r="A58" s="21" t="s">
        <v>197</v>
      </c>
      <c r="B58" s="21">
        <v>200</v>
      </c>
      <c r="C58" s="21">
        <v>4</v>
      </c>
      <c r="D58" s="31" t="s">
        <v>211</v>
      </c>
      <c r="E58" s="31" t="s">
        <v>211</v>
      </c>
    </row>
    <row r="59" spans="1:6" x14ac:dyDescent="0.45">
      <c r="A59" s="21" t="s">
        <v>198</v>
      </c>
      <c r="B59" s="21">
        <v>200</v>
      </c>
      <c r="C59" s="21">
        <v>4</v>
      </c>
      <c r="D59" s="31" t="s">
        <v>211</v>
      </c>
      <c r="F59" s="31" t="s">
        <v>211</v>
      </c>
    </row>
    <row r="60" spans="1:6" x14ac:dyDescent="0.45">
      <c r="A60" s="21" t="s">
        <v>92</v>
      </c>
      <c r="B60" s="21">
        <v>200</v>
      </c>
      <c r="C60" s="21">
        <v>4</v>
      </c>
      <c r="E60" s="31" t="s">
        <v>211</v>
      </c>
      <c r="F60" s="31" t="s">
        <v>211</v>
      </c>
    </row>
    <row r="61" spans="1:6" x14ac:dyDescent="0.45">
      <c r="A61" s="21" t="s">
        <v>199</v>
      </c>
      <c r="B61" s="21">
        <v>200</v>
      </c>
      <c r="C61" s="21">
        <v>4</v>
      </c>
      <c r="D61" s="31" t="s">
        <v>211</v>
      </c>
      <c r="E61" s="31" t="s">
        <v>211</v>
      </c>
    </row>
    <row r="62" spans="1:6" x14ac:dyDescent="0.45">
      <c r="A62" s="21" t="s">
        <v>200</v>
      </c>
      <c r="B62" s="21">
        <v>200</v>
      </c>
      <c r="C62" s="21">
        <v>4</v>
      </c>
      <c r="E62" s="31" t="s">
        <v>211</v>
      </c>
      <c r="F62" s="31" t="s">
        <v>211</v>
      </c>
    </row>
    <row r="63" spans="1:6" x14ac:dyDescent="0.45">
      <c r="A63" s="21" t="s">
        <v>201</v>
      </c>
      <c r="B63" s="21">
        <v>200</v>
      </c>
      <c r="C63" s="21">
        <v>4</v>
      </c>
      <c r="D63" s="31" t="s">
        <v>211</v>
      </c>
      <c r="E63" s="31" t="s">
        <v>211</v>
      </c>
    </row>
    <row r="64" spans="1:6" x14ac:dyDescent="0.45">
      <c r="A64" s="21" t="s">
        <v>93</v>
      </c>
      <c r="B64" s="21">
        <v>200</v>
      </c>
      <c r="C64" s="21">
        <v>4</v>
      </c>
      <c r="F64" s="31" t="s">
        <v>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B77F-25BE-4F53-8466-968392D830E1}">
  <dimension ref="A1:C4"/>
  <sheetViews>
    <sheetView workbookViewId="0">
      <selection activeCell="F28" sqref="F28"/>
    </sheetView>
  </sheetViews>
  <sheetFormatPr defaultRowHeight="14.25" x14ac:dyDescent="0.45"/>
  <cols>
    <col min="1" max="1" width="24.33203125" bestFit="1" customWidth="1"/>
    <col min="3" max="3" width="12.265625" bestFit="1" customWidth="1"/>
  </cols>
  <sheetData>
    <row r="1" spans="1:3" x14ac:dyDescent="0.45">
      <c r="A1" s="1" t="s">
        <v>96</v>
      </c>
      <c r="B1" s="1" t="s">
        <v>97</v>
      </c>
      <c r="C1" s="1" t="s">
        <v>98</v>
      </c>
    </row>
    <row r="2" spans="1:3" x14ac:dyDescent="0.45">
      <c r="A2" s="32" t="s">
        <v>210</v>
      </c>
      <c r="B2" s="31">
        <v>50</v>
      </c>
      <c r="C2" s="31" t="s">
        <v>209</v>
      </c>
    </row>
    <row r="3" spans="1:3" x14ac:dyDescent="0.45">
      <c r="A3" s="32" t="s">
        <v>208</v>
      </c>
      <c r="B3" s="31">
        <v>30</v>
      </c>
      <c r="C3" s="31" t="s">
        <v>209</v>
      </c>
    </row>
    <row r="4" spans="1:3" x14ac:dyDescent="0.45">
      <c r="A4" s="32" t="s">
        <v>214</v>
      </c>
      <c r="B4" s="31">
        <v>25</v>
      </c>
      <c r="C4" s="31" t="s">
        <v>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>
      <selection activeCell="F26" sqref="F26"/>
    </sheetView>
  </sheetViews>
  <sheetFormatPr defaultRowHeight="14.25" x14ac:dyDescent="0.45"/>
  <cols>
    <col min="1" max="1" width="10" customWidth="1"/>
    <col min="2" max="2" width="16" customWidth="1"/>
    <col min="3" max="3" width="14" customWidth="1"/>
    <col min="4" max="4" width="18" customWidth="1"/>
    <col min="6" max="6" width="90" customWidth="1"/>
  </cols>
  <sheetData>
    <row r="1" spans="1:6" x14ac:dyDescent="0.45">
      <c r="A1" s="29" t="s">
        <v>3</v>
      </c>
      <c r="B1" s="29" t="s">
        <v>145</v>
      </c>
      <c r="C1" s="29" t="s">
        <v>204</v>
      </c>
      <c r="D1" s="29" t="s">
        <v>205</v>
      </c>
      <c r="F1" s="30" t="s">
        <v>206</v>
      </c>
    </row>
    <row r="2" spans="1:6" x14ac:dyDescent="0.45">
      <c r="A2" t="s">
        <v>9</v>
      </c>
      <c r="B2" t="s">
        <v>191</v>
      </c>
      <c r="C2">
        <v>19</v>
      </c>
      <c r="D2">
        <v>0</v>
      </c>
    </row>
    <row r="3" spans="1:6" x14ac:dyDescent="0.45">
      <c r="A3" t="s">
        <v>9</v>
      </c>
      <c r="B3" t="s">
        <v>181</v>
      </c>
      <c r="C3">
        <v>12</v>
      </c>
      <c r="D3">
        <v>0</v>
      </c>
    </row>
    <row r="4" spans="1:6" x14ac:dyDescent="0.45">
      <c r="A4" t="s">
        <v>9</v>
      </c>
      <c r="B4" t="s">
        <v>169</v>
      </c>
      <c r="C4">
        <v>19</v>
      </c>
      <c r="D4">
        <v>0</v>
      </c>
    </row>
    <row r="5" spans="1:6" x14ac:dyDescent="0.45">
      <c r="A5" t="s">
        <v>17</v>
      </c>
      <c r="B5" t="s">
        <v>191</v>
      </c>
      <c r="C5">
        <v>19</v>
      </c>
      <c r="D5">
        <v>0</v>
      </c>
    </row>
    <row r="6" spans="1:6" x14ac:dyDescent="0.45">
      <c r="A6" t="s">
        <v>17</v>
      </c>
      <c r="B6" t="s">
        <v>181</v>
      </c>
      <c r="C6">
        <v>12</v>
      </c>
      <c r="D6">
        <v>0</v>
      </c>
    </row>
    <row r="7" spans="1:6" x14ac:dyDescent="0.45">
      <c r="A7" t="s">
        <v>18</v>
      </c>
      <c r="B7" t="s">
        <v>161</v>
      </c>
      <c r="C7">
        <v>14</v>
      </c>
      <c r="D7">
        <v>0</v>
      </c>
    </row>
    <row r="8" spans="1:6" x14ac:dyDescent="0.45">
      <c r="A8" t="s">
        <v>18</v>
      </c>
      <c r="B8" t="s">
        <v>196</v>
      </c>
      <c r="C8">
        <v>24</v>
      </c>
      <c r="D8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Normal="100" workbookViewId="0">
      <pane ySplit="1" topLeftCell="A2" activePane="bottomLeft" state="frozen"/>
      <selection pane="bottomLeft" activeCell="A9" sqref="A9"/>
    </sheetView>
  </sheetViews>
  <sheetFormatPr defaultColWidth="8.6640625" defaultRowHeight="14.25" x14ac:dyDescent="0.45"/>
  <cols>
    <col min="1" max="1" width="20" customWidth="1"/>
    <col min="2" max="3" width="60" customWidth="1"/>
  </cols>
  <sheetData>
    <row r="1" spans="1:3" ht="21.75" customHeight="1" x14ac:dyDescent="0.45">
      <c r="A1" s="48" t="s">
        <v>112</v>
      </c>
      <c r="B1" s="47"/>
      <c r="C1" s="47"/>
    </row>
    <row r="2" spans="1:3" ht="15" customHeight="1" x14ac:dyDescent="0.45">
      <c r="A2" s="1" t="s">
        <v>113</v>
      </c>
      <c r="B2" s="1" t="s">
        <v>114</v>
      </c>
      <c r="C2" s="1" t="s">
        <v>115</v>
      </c>
    </row>
    <row r="3" spans="1:3" ht="39.75" customHeight="1" x14ac:dyDescent="0.45">
      <c r="A3" s="20" t="s">
        <v>116</v>
      </c>
      <c r="B3" s="13" t="s">
        <v>117</v>
      </c>
      <c r="C3" s="13" t="s">
        <v>118</v>
      </c>
    </row>
    <row r="4" spans="1:3" ht="39.75" customHeight="1" x14ac:dyDescent="0.45">
      <c r="A4" s="17" t="s">
        <v>119</v>
      </c>
      <c r="B4" s="14" t="s">
        <v>120</v>
      </c>
      <c r="C4" s="14" t="s">
        <v>121</v>
      </c>
    </row>
    <row r="5" spans="1:3" ht="39.75" customHeight="1" x14ac:dyDescent="0.45">
      <c r="A5" s="20" t="s">
        <v>122</v>
      </c>
      <c r="B5" s="13" t="s">
        <v>123</v>
      </c>
      <c r="C5" s="13" t="s">
        <v>124</v>
      </c>
    </row>
    <row r="6" spans="1:3" ht="39.75" customHeight="1" x14ac:dyDescent="0.45">
      <c r="A6" s="17" t="s">
        <v>125</v>
      </c>
      <c r="B6" s="14" t="s">
        <v>126</v>
      </c>
      <c r="C6" s="14" t="s">
        <v>127</v>
      </c>
    </row>
    <row r="7" spans="1:3" ht="39.75" customHeight="1" x14ac:dyDescent="0.45">
      <c r="A7" s="20" t="s">
        <v>128</v>
      </c>
      <c r="B7" s="13" t="s">
        <v>129</v>
      </c>
      <c r="C7" s="13" t="s">
        <v>130</v>
      </c>
    </row>
    <row r="8" spans="1:3" ht="39.75" customHeight="1" x14ac:dyDescent="0.45">
      <c r="A8" s="17" t="s">
        <v>131</v>
      </c>
      <c r="B8" s="14" t="s">
        <v>132</v>
      </c>
      <c r="C8" s="14" t="s">
        <v>133</v>
      </c>
    </row>
    <row r="9" spans="1:3" ht="39.75" customHeight="1" x14ac:dyDescent="0.45">
      <c r="A9" s="20" t="s">
        <v>134</v>
      </c>
      <c r="B9" s="13" t="s">
        <v>135</v>
      </c>
      <c r="C9" s="13" t="s">
        <v>136</v>
      </c>
    </row>
    <row r="10" spans="1:3" ht="39.75" customHeight="1" x14ac:dyDescent="0.45">
      <c r="A10" s="17" t="s">
        <v>137</v>
      </c>
      <c r="B10" s="14" t="s">
        <v>138</v>
      </c>
      <c r="C10" s="14"/>
    </row>
    <row r="11" spans="1:3" ht="39.75" customHeight="1" x14ac:dyDescent="0.45"/>
    <row r="13" spans="1:3" ht="15" customHeight="1" x14ac:dyDescent="0.45">
      <c r="A13" s="44" t="s">
        <v>139</v>
      </c>
      <c r="B13" s="45"/>
      <c r="C13" s="45"/>
    </row>
    <row r="14" spans="1:3" ht="15" customHeight="1" x14ac:dyDescent="0.45">
      <c r="A14" s="51" t="s">
        <v>140</v>
      </c>
      <c r="B14" s="45"/>
      <c r="C14" s="52"/>
    </row>
    <row r="15" spans="1:3" ht="15" customHeight="1" x14ac:dyDescent="0.45">
      <c r="A15" s="55" t="s">
        <v>141</v>
      </c>
      <c r="B15" s="45"/>
      <c r="C15" s="52"/>
    </row>
    <row r="16" spans="1:3" ht="15" customHeight="1" x14ac:dyDescent="0.45">
      <c r="A16" s="56" t="s">
        <v>142</v>
      </c>
      <c r="B16" s="45"/>
      <c r="C16" s="52"/>
    </row>
    <row r="17" spans="1:3" ht="15" customHeight="1" x14ac:dyDescent="0.45">
      <c r="A17" s="53" t="s">
        <v>143</v>
      </c>
      <c r="B17" s="45"/>
      <c r="C17" s="52"/>
    </row>
    <row r="18" spans="1:3" ht="15" customHeight="1" x14ac:dyDescent="0.45">
      <c r="A18" s="54" t="s">
        <v>144</v>
      </c>
      <c r="B18" s="45"/>
      <c r="C18" s="52"/>
    </row>
  </sheetData>
  <mergeCells count="7">
    <mergeCell ref="A13:C13"/>
    <mergeCell ref="A1:C1"/>
    <mergeCell ref="A14:C14"/>
    <mergeCell ref="A17:C17"/>
    <mergeCell ref="A18:C18"/>
    <mergeCell ref="A15:C15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Process</vt:lpstr>
      <vt:lpstr>Shifts</vt:lpstr>
      <vt:lpstr>Buffers</vt:lpstr>
      <vt:lpstr>Inventories</vt:lpstr>
      <vt:lpstr>Inspection</vt:lpstr>
      <vt:lpstr>Supermarkets</vt:lpstr>
      <vt:lpstr>SetupState</vt:lpstr>
      <vt:lpstr>Packaging</vt:lpstr>
      <vt:lpstr>CustomerDemand</vt:lpstr>
      <vt:lpstr>CustomerDemandKanban</vt:lpstr>
      <vt:lpstr>KanbanCardsSetup</vt:lpstr>
      <vt:lpstr>KanbanConfig</vt:lpstr>
      <vt:lpstr>SupermInState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Pando</cp:lastModifiedBy>
  <cp:revision>0</cp:revision>
  <dcterms:created xsi:type="dcterms:W3CDTF">2026-06-16T12:10:25Z</dcterms:created>
  <dcterms:modified xsi:type="dcterms:W3CDTF">2026-09-02T12:11:34Z</dcterms:modified>
  <dc:language>en-US</dc:language>
</cp:coreProperties>
</file>